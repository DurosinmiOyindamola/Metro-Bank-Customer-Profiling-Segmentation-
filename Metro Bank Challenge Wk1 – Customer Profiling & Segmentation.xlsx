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D9AFBD21-79CB-4744-8DA2-42398AED1D10}" xr6:coauthVersionLast="47" xr6:coauthVersionMax="47" xr10:uidLastSave="{00000000-0000-0000-0000-000000000000}"/>
  <bookViews>
    <workbookView xWindow="-110" yWindow="-110" windowWidth="19420" windowHeight="10420" xr2:uid="{00000000-000D-0000-FFFF-FFFF00000000}"/>
  </bookViews>
  <sheets>
    <sheet name="Dashboard" sheetId="5" r:id="rId1"/>
    <sheet name="pivot tables" sheetId="3" r:id="rId2"/>
    <sheet name="Sheet3" sheetId="4" r:id="rId3"/>
    <sheet name="Sheet1" sheetId="6" r:id="rId4"/>
    <sheet name="customers" sheetId="1" r:id="rId5"/>
    <sheet name="KPIs" sheetId="2" r:id="rId6"/>
  </sheets>
  <definedNames>
    <definedName name="_xlcn.WorksheetConnection_customersA1N501" hidden="1">customers!$A$1:$N$501</definedName>
    <definedName name="_xlcn.WorksheetConnection_My1Task.xlsxTable1" hidden="1">Table1[]</definedName>
    <definedName name="Slicer_Gender">#N/A</definedName>
    <definedName name="Slicer_Occupation">#N/A</definedName>
  </definedNames>
  <calcPr calcId="191029"/>
  <pivotCaches>
    <pivotCache cacheId="103" r:id="rId7"/>
    <pivotCache cacheId="251" r:id="rId8"/>
    <pivotCache cacheId="254" r:id="rId9"/>
    <pivotCache cacheId="257" r:id="rId10"/>
    <pivotCache cacheId="260" r:id="rId11"/>
    <pivotCache cacheId="263" r:id="rId12"/>
    <pivotCache cacheId="266" r:id="rId13"/>
    <pivotCache cacheId="269" r:id="rId14"/>
    <pivotCache cacheId="272" r:id="rId15"/>
    <pivotCache cacheId="275" r:id="rId16"/>
  </pivotCaches>
  <extLst>
    <ext xmlns:x14="http://schemas.microsoft.com/office/spreadsheetml/2009/9/main" uri="{876F7934-8845-4945-9796-88D515C7AA90}">
      <x14:pivotCaches>
        <pivotCache cacheId="113"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My 1 Task.xlsx!Table1"/>
          <x15:modelTable id="Range" name="Range" connection="WorksheetConnection_customers!$A$1:$N$5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 i="1" l="1"/>
  <c r="L3" i="1"/>
  <c r="L4" i="1"/>
  <c r="L5" i="1"/>
  <c r="L6" i="1"/>
  <c r="L7" i="1"/>
  <c r="L8" i="1"/>
  <c r="L9" i="1"/>
  <c r="L10" i="1"/>
  <c r="M10" i="1" s="1"/>
  <c r="L11" i="1"/>
  <c r="L12" i="1"/>
  <c r="L13" i="1"/>
  <c r="L14" i="1"/>
  <c r="M14" i="1" s="1"/>
  <c r="L15" i="1"/>
  <c r="L16" i="1"/>
  <c r="L17" i="1"/>
  <c r="L18" i="1"/>
  <c r="M18" i="1" s="1"/>
  <c r="L19" i="1"/>
  <c r="L20" i="1"/>
  <c r="L21" i="1"/>
  <c r="L22" i="1"/>
  <c r="M22" i="1" s="1"/>
  <c r="L23" i="1"/>
  <c r="L24" i="1"/>
  <c r="L25" i="1"/>
  <c r="L26" i="1"/>
  <c r="M26" i="1" s="1"/>
  <c r="L27" i="1"/>
  <c r="L28" i="1"/>
  <c r="L29" i="1"/>
  <c r="L30" i="1"/>
  <c r="M30" i="1" s="1"/>
  <c r="L31" i="1"/>
  <c r="L32" i="1"/>
  <c r="L33" i="1"/>
  <c r="L34" i="1"/>
  <c r="M34" i="1" s="1"/>
  <c r="L35" i="1"/>
  <c r="L36" i="1"/>
  <c r="L37" i="1"/>
  <c r="L38" i="1"/>
  <c r="M38" i="1" s="1"/>
  <c r="L39" i="1"/>
  <c r="L40" i="1"/>
  <c r="L41" i="1"/>
  <c r="L42" i="1"/>
  <c r="M42" i="1" s="1"/>
  <c r="L43" i="1"/>
  <c r="L44" i="1"/>
  <c r="L45" i="1"/>
  <c r="L46" i="1"/>
  <c r="M46" i="1" s="1"/>
  <c r="L47" i="1"/>
  <c r="L48" i="1"/>
  <c r="L49" i="1"/>
  <c r="L50" i="1"/>
  <c r="M50" i="1" s="1"/>
  <c r="L51" i="1"/>
  <c r="L52" i="1"/>
  <c r="L53" i="1"/>
  <c r="L54" i="1"/>
  <c r="M54" i="1" s="1"/>
  <c r="L55" i="1"/>
  <c r="L56" i="1"/>
  <c r="L57" i="1"/>
  <c r="L58" i="1"/>
  <c r="M58" i="1" s="1"/>
  <c r="L59" i="1"/>
  <c r="L60" i="1"/>
  <c r="L61" i="1"/>
  <c r="L62" i="1"/>
  <c r="M62" i="1" s="1"/>
  <c r="L63" i="1"/>
  <c r="L64" i="1"/>
  <c r="L65" i="1"/>
  <c r="L66" i="1"/>
  <c r="M66" i="1" s="1"/>
  <c r="L67" i="1"/>
  <c r="L68" i="1"/>
  <c r="L69" i="1"/>
  <c r="L70" i="1"/>
  <c r="M70" i="1" s="1"/>
  <c r="L71" i="1"/>
  <c r="L72" i="1"/>
  <c r="L73" i="1"/>
  <c r="L74" i="1"/>
  <c r="M74" i="1" s="1"/>
  <c r="L75" i="1"/>
  <c r="L76" i="1"/>
  <c r="L77" i="1"/>
  <c r="L78" i="1"/>
  <c r="M78" i="1" s="1"/>
  <c r="L79" i="1"/>
  <c r="L80" i="1"/>
  <c r="L81" i="1"/>
  <c r="L82" i="1"/>
  <c r="M82" i="1" s="1"/>
  <c r="L83" i="1"/>
  <c r="L84" i="1"/>
  <c r="L85" i="1"/>
  <c r="L86" i="1"/>
  <c r="L87" i="1"/>
  <c r="L88" i="1"/>
  <c r="L89" i="1"/>
  <c r="L90" i="1"/>
  <c r="L91" i="1"/>
  <c r="L92" i="1"/>
  <c r="L93" i="1"/>
  <c r="L94" i="1"/>
  <c r="L95" i="1"/>
  <c r="L96" i="1"/>
  <c r="L97" i="1"/>
  <c r="L98" i="1"/>
  <c r="M98" i="1" s="1"/>
  <c r="L99" i="1"/>
  <c r="L100" i="1"/>
  <c r="L101" i="1"/>
  <c r="L102" i="1"/>
  <c r="L103" i="1"/>
  <c r="L104" i="1"/>
  <c r="L105" i="1"/>
  <c r="L106" i="1"/>
  <c r="L107" i="1"/>
  <c r="L108" i="1"/>
  <c r="L109" i="1"/>
  <c r="L110" i="1"/>
  <c r="L111" i="1"/>
  <c r="L112" i="1"/>
  <c r="L113" i="1"/>
  <c r="L114" i="1"/>
  <c r="M114" i="1" s="1"/>
  <c r="L115" i="1"/>
  <c r="L116" i="1"/>
  <c r="L117" i="1"/>
  <c r="L118" i="1"/>
  <c r="L119" i="1"/>
  <c r="L120" i="1"/>
  <c r="L121" i="1"/>
  <c r="L122" i="1"/>
  <c r="L123" i="1"/>
  <c r="L124" i="1"/>
  <c r="L125" i="1"/>
  <c r="L126" i="1"/>
  <c r="L127" i="1"/>
  <c r="L128" i="1"/>
  <c r="L129" i="1"/>
  <c r="L130" i="1"/>
  <c r="M130" i="1" s="1"/>
  <c r="L131" i="1"/>
  <c r="L132" i="1"/>
  <c r="L133" i="1"/>
  <c r="L134" i="1"/>
  <c r="L135" i="1"/>
  <c r="L136" i="1"/>
  <c r="L137" i="1"/>
  <c r="L138" i="1"/>
  <c r="L139" i="1"/>
  <c r="L140" i="1"/>
  <c r="L141" i="1"/>
  <c r="L142" i="1"/>
  <c r="L143" i="1"/>
  <c r="L144" i="1"/>
  <c r="L145" i="1"/>
  <c r="L146" i="1"/>
  <c r="M146" i="1" s="1"/>
  <c r="L147" i="1"/>
  <c r="L148" i="1"/>
  <c r="L149" i="1"/>
  <c r="L150" i="1"/>
  <c r="L151" i="1"/>
  <c r="L152" i="1"/>
  <c r="L153" i="1"/>
  <c r="L154" i="1"/>
  <c r="L155" i="1"/>
  <c r="L156" i="1"/>
  <c r="L157" i="1"/>
  <c r="L158" i="1"/>
  <c r="L159" i="1"/>
  <c r="L160" i="1"/>
  <c r="L161" i="1"/>
  <c r="L162" i="1"/>
  <c r="M162" i="1" s="1"/>
  <c r="L163" i="1"/>
  <c r="L164" i="1"/>
  <c r="L165" i="1"/>
  <c r="L166" i="1"/>
  <c r="L167" i="1"/>
  <c r="L168" i="1"/>
  <c r="L169" i="1"/>
  <c r="L170" i="1"/>
  <c r="L171" i="1"/>
  <c r="L172" i="1"/>
  <c r="L173" i="1"/>
  <c r="L174" i="1"/>
  <c r="L175" i="1"/>
  <c r="L176" i="1"/>
  <c r="L177" i="1"/>
  <c r="L178" i="1"/>
  <c r="M178" i="1" s="1"/>
  <c r="L179" i="1"/>
  <c r="L180" i="1"/>
  <c r="L181" i="1"/>
  <c r="L182" i="1"/>
  <c r="L183" i="1"/>
  <c r="L184" i="1"/>
  <c r="L185" i="1"/>
  <c r="L186" i="1"/>
  <c r="L187" i="1"/>
  <c r="L188" i="1"/>
  <c r="L189" i="1"/>
  <c r="L190" i="1"/>
  <c r="L191" i="1"/>
  <c r="L192" i="1"/>
  <c r="L193" i="1"/>
  <c r="L194" i="1"/>
  <c r="M194" i="1" s="1"/>
  <c r="L195" i="1"/>
  <c r="L196" i="1"/>
  <c r="L197" i="1"/>
  <c r="L198" i="1"/>
  <c r="L199" i="1"/>
  <c r="L200" i="1"/>
  <c r="L201" i="1"/>
  <c r="L202" i="1"/>
  <c r="L203" i="1"/>
  <c r="L204" i="1"/>
  <c r="L205" i="1"/>
  <c r="L206" i="1"/>
  <c r="L207" i="1"/>
  <c r="L208" i="1"/>
  <c r="L209" i="1"/>
  <c r="L210" i="1"/>
  <c r="M210" i="1" s="1"/>
  <c r="L211" i="1"/>
  <c r="L212" i="1"/>
  <c r="L213" i="1"/>
  <c r="L214" i="1"/>
  <c r="L215" i="1"/>
  <c r="L216" i="1"/>
  <c r="L217" i="1"/>
  <c r="L218" i="1"/>
  <c r="L219" i="1"/>
  <c r="L220" i="1"/>
  <c r="L221" i="1"/>
  <c r="L222" i="1"/>
  <c r="L223" i="1"/>
  <c r="L224" i="1"/>
  <c r="L225" i="1"/>
  <c r="L226" i="1"/>
  <c r="M226" i="1" s="1"/>
  <c r="L227" i="1"/>
  <c r="L228" i="1"/>
  <c r="L229" i="1"/>
  <c r="L230" i="1"/>
  <c r="L231" i="1"/>
  <c r="L232" i="1"/>
  <c r="L233" i="1"/>
  <c r="L234" i="1"/>
  <c r="L235" i="1"/>
  <c r="L236" i="1"/>
  <c r="L237" i="1"/>
  <c r="L238" i="1"/>
  <c r="L239" i="1"/>
  <c r="L240" i="1"/>
  <c r="L241" i="1"/>
  <c r="L242" i="1"/>
  <c r="M242" i="1" s="1"/>
  <c r="L243" i="1"/>
  <c r="L244" i="1"/>
  <c r="L245" i="1"/>
  <c r="L246" i="1"/>
  <c r="L247" i="1"/>
  <c r="L248" i="1"/>
  <c r="L249" i="1"/>
  <c r="L250" i="1"/>
  <c r="L251" i="1"/>
  <c r="L252" i="1"/>
  <c r="L253" i="1"/>
  <c r="L254" i="1"/>
  <c r="L255" i="1"/>
  <c r="L256" i="1"/>
  <c r="L257" i="1"/>
  <c r="L258" i="1"/>
  <c r="M258" i="1" s="1"/>
  <c r="L259" i="1"/>
  <c r="L260" i="1"/>
  <c r="L261" i="1"/>
  <c r="L262" i="1"/>
  <c r="L263" i="1"/>
  <c r="L264" i="1"/>
  <c r="L265" i="1"/>
  <c r="L266" i="1"/>
  <c r="L267" i="1"/>
  <c r="L268" i="1"/>
  <c r="L269" i="1"/>
  <c r="L270" i="1"/>
  <c r="L271" i="1"/>
  <c r="L272" i="1"/>
  <c r="L273" i="1"/>
  <c r="L274" i="1"/>
  <c r="M274" i="1" s="1"/>
  <c r="L275" i="1"/>
  <c r="L276" i="1"/>
  <c r="L277" i="1"/>
  <c r="L278" i="1"/>
  <c r="L279" i="1"/>
  <c r="L280" i="1"/>
  <c r="L281" i="1"/>
  <c r="L282" i="1"/>
  <c r="L283" i="1"/>
  <c r="L284" i="1"/>
  <c r="L285" i="1"/>
  <c r="L286" i="1"/>
  <c r="L287" i="1"/>
  <c r="L288" i="1"/>
  <c r="L289" i="1"/>
  <c r="L290" i="1"/>
  <c r="M290" i="1" s="1"/>
  <c r="L291" i="1"/>
  <c r="L292" i="1"/>
  <c r="L293" i="1"/>
  <c r="L294" i="1"/>
  <c r="L295" i="1"/>
  <c r="L296" i="1"/>
  <c r="L297" i="1"/>
  <c r="L298" i="1"/>
  <c r="L299" i="1"/>
  <c r="L300" i="1"/>
  <c r="L301" i="1"/>
  <c r="L302" i="1"/>
  <c r="L303" i="1"/>
  <c r="L304" i="1"/>
  <c r="L305" i="1"/>
  <c r="L306" i="1"/>
  <c r="M306" i="1" s="1"/>
  <c r="L307" i="1"/>
  <c r="L308" i="1"/>
  <c r="L309" i="1"/>
  <c r="L310" i="1"/>
  <c r="L311" i="1"/>
  <c r="L312" i="1"/>
  <c r="L313" i="1"/>
  <c r="L314" i="1"/>
  <c r="L315" i="1"/>
  <c r="L316" i="1"/>
  <c r="L317" i="1"/>
  <c r="L318" i="1"/>
  <c r="L319" i="1"/>
  <c r="L320" i="1"/>
  <c r="L321" i="1"/>
  <c r="L322" i="1"/>
  <c r="M322" i="1" s="1"/>
  <c r="L323" i="1"/>
  <c r="L324" i="1"/>
  <c r="L325" i="1"/>
  <c r="L326" i="1"/>
  <c r="L327" i="1"/>
  <c r="L328" i="1"/>
  <c r="L329" i="1"/>
  <c r="L330" i="1"/>
  <c r="L331" i="1"/>
  <c r="L332" i="1"/>
  <c r="L333" i="1"/>
  <c r="L334" i="1"/>
  <c r="L335" i="1"/>
  <c r="L336" i="1"/>
  <c r="L337" i="1"/>
  <c r="L338" i="1"/>
  <c r="M338" i="1" s="1"/>
  <c r="L339" i="1"/>
  <c r="L340" i="1"/>
  <c r="L341" i="1"/>
  <c r="L342" i="1"/>
  <c r="L343" i="1"/>
  <c r="L344" i="1"/>
  <c r="L345" i="1"/>
  <c r="L346" i="1"/>
  <c r="L347" i="1"/>
  <c r="L348" i="1"/>
  <c r="M348" i="1" s="1"/>
  <c r="L349" i="1"/>
  <c r="L350" i="1"/>
  <c r="L351" i="1"/>
  <c r="L352" i="1"/>
  <c r="L353" i="1"/>
  <c r="L354" i="1"/>
  <c r="L355" i="1"/>
  <c r="L356" i="1"/>
  <c r="M356" i="1" s="1"/>
  <c r="L357" i="1"/>
  <c r="L358" i="1"/>
  <c r="L359" i="1"/>
  <c r="L360" i="1"/>
  <c r="L361" i="1"/>
  <c r="L362" i="1"/>
  <c r="L363" i="1"/>
  <c r="L364" i="1"/>
  <c r="M364" i="1" s="1"/>
  <c r="L365" i="1"/>
  <c r="L366" i="1"/>
  <c r="L367" i="1"/>
  <c r="L368" i="1"/>
  <c r="L369" i="1"/>
  <c r="L370" i="1"/>
  <c r="L371" i="1"/>
  <c r="L372" i="1"/>
  <c r="M372" i="1" s="1"/>
  <c r="L373" i="1"/>
  <c r="L374" i="1"/>
  <c r="L375" i="1"/>
  <c r="L376" i="1"/>
  <c r="L377" i="1"/>
  <c r="L378" i="1"/>
  <c r="L379" i="1"/>
  <c r="L380" i="1"/>
  <c r="M380" i="1" s="1"/>
  <c r="L381" i="1"/>
  <c r="L382" i="1"/>
  <c r="L383" i="1"/>
  <c r="L384" i="1"/>
  <c r="L385" i="1"/>
  <c r="L386" i="1"/>
  <c r="L387" i="1"/>
  <c r="L388" i="1"/>
  <c r="M388" i="1" s="1"/>
  <c r="L389" i="1"/>
  <c r="L390" i="1"/>
  <c r="L391" i="1"/>
  <c r="L392" i="1"/>
  <c r="L393" i="1"/>
  <c r="L394" i="1"/>
  <c r="L395" i="1"/>
  <c r="L396" i="1"/>
  <c r="M396" i="1" s="1"/>
  <c r="L397" i="1"/>
  <c r="L398" i="1"/>
  <c r="L399" i="1"/>
  <c r="L400" i="1"/>
  <c r="L401" i="1"/>
  <c r="L402" i="1"/>
  <c r="L403" i="1"/>
  <c r="L404" i="1"/>
  <c r="M404" i="1" s="1"/>
  <c r="L405" i="1"/>
  <c r="L406" i="1"/>
  <c r="L407" i="1"/>
  <c r="L408" i="1"/>
  <c r="L409" i="1"/>
  <c r="L410" i="1"/>
  <c r="L411" i="1"/>
  <c r="L412" i="1"/>
  <c r="M412" i="1" s="1"/>
  <c r="L413" i="1"/>
  <c r="L414" i="1"/>
  <c r="L415" i="1"/>
  <c r="L416" i="1"/>
  <c r="L417" i="1"/>
  <c r="L418" i="1"/>
  <c r="L419" i="1"/>
  <c r="L420" i="1"/>
  <c r="M420" i="1" s="1"/>
  <c r="L421" i="1"/>
  <c r="L422" i="1"/>
  <c r="L423" i="1"/>
  <c r="L424" i="1"/>
  <c r="L425" i="1"/>
  <c r="L426" i="1"/>
  <c r="L427" i="1"/>
  <c r="L428" i="1"/>
  <c r="M428" i="1" s="1"/>
  <c r="L429" i="1"/>
  <c r="L430" i="1"/>
  <c r="L431" i="1"/>
  <c r="L432" i="1"/>
  <c r="L433" i="1"/>
  <c r="L434" i="1"/>
  <c r="L435" i="1"/>
  <c r="L436" i="1"/>
  <c r="M436" i="1" s="1"/>
  <c r="L437" i="1"/>
  <c r="L438" i="1"/>
  <c r="L439" i="1"/>
  <c r="L440" i="1"/>
  <c r="L441" i="1"/>
  <c r="L442" i="1"/>
  <c r="L443" i="1"/>
  <c r="L444" i="1"/>
  <c r="M444" i="1" s="1"/>
  <c r="L445" i="1"/>
  <c r="L446" i="1"/>
  <c r="L447" i="1"/>
  <c r="L448" i="1"/>
  <c r="L449" i="1"/>
  <c r="L450" i="1"/>
  <c r="L451" i="1"/>
  <c r="L452" i="1"/>
  <c r="M452" i="1" s="1"/>
  <c r="L453" i="1"/>
  <c r="L454" i="1"/>
  <c r="L455" i="1"/>
  <c r="L456" i="1"/>
  <c r="L457" i="1"/>
  <c r="L458" i="1"/>
  <c r="L459" i="1"/>
  <c r="L460" i="1"/>
  <c r="M460" i="1" s="1"/>
  <c r="L461" i="1"/>
  <c r="L462" i="1"/>
  <c r="L463" i="1"/>
  <c r="L464" i="1"/>
  <c r="L465" i="1"/>
  <c r="L466" i="1"/>
  <c r="L467" i="1"/>
  <c r="L468" i="1"/>
  <c r="M468" i="1" s="1"/>
  <c r="L469" i="1"/>
  <c r="L470" i="1"/>
  <c r="L471" i="1"/>
  <c r="L472" i="1"/>
  <c r="L473" i="1"/>
  <c r="L474" i="1"/>
  <c r="L475" i="1"/>
  <c r="L476" i="1"/>
  <c r="M476" i="1" s="1"/>
  <c r="L477" i="1"/>
  <c r="L478" i="1"/>
  <c r="L479" i="1"/>
  <c r="L480" i="1"/>
  <c r="L481" i="1"/>
  <c r="L482" i="1"/>
  <c r="L483" i="1"/>
  <c r="L484" i="1"/>
  <c r="M484" i="1" s="1"/>
  <c r="L485" i="1"/>
  <c r="L486" i="1"/>
  <c r="L487" i="1"/>
  <c r="L488" i="1"/>
  <c r="L489" i="1"/>
  <c r="L490" i="1"/>
  <c r="L491" i="1"/>
  <c r="L492" i="1"/>
  <c r="M492" i="1" s="1"/>
  <c r="L493" i="1"/>
  <c r="L494" i="1"/>
  <c r="L495" i="1"/>
  <c r="L496" i="1"/>
  <c r="L497" i="1"/>
  <c r="L498" i="1"/>
  <c r="L499" i="1"/>
  <c r="L500" i="1"/>
  <c r="M500" i="1" s="1"/>
  <c r="L501" i="1"/>
  <c r="M6" i="1"/>
  <c r="S3" i="3"/>
  <c r="R3" i="3" s="1"/>
  <c r="T3" i="3"/>
  <c r="T5" i="3"/>
  <c r="T6" i="3"/>
  <c r="T4" i="3"/>
  <c r="S5" i="3"/>
  <c r="S6" i="3"/>
  <c r="S4" i="3"/>
  <c r="R5" i="3"/>
  <c r="R6" i="3"/>
  <c r="R4" i="3"/>
  <c r="K3" i="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s="1"/>
  <c r="K61" i="1" a="1"/>
  <c r="K61" i="1" s="1"/>
  <c r="K62" i="1" a="1"/>
  <c r="K62" i="1" s="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78" i="1" a="1"/>
  <c r="K78" i="1" s="1"/>
  <c r="K79" i="1" a="1"/>
  <c r="K79" i="1" s="1"/>
  <c r="K80" i="1" a="1"/>
  <c r="K80" i="1" s="1"/>
  <c r="K81" i="1" a="1"/>
  <c r="K81" i="1" s="1"/>
  <c r="K82" i="1" a="1"/>
  <c r="K82" i="1" s="1"/>
  <c r="K83" i="1" a="1"/>
  <c r="K83" i="1" s="1"/>
  <c r="K84" i="1" a="1"/>
  <c r="K84" i="1" s="1"/>
  <c r="K85" i="1" a="1"/>
  <c r="K85" i="1" s="1"/>
  <c r="K86" i="1" a="1"/>
  <c r="K86" i="1" s="1"/>
  <c r="K87" i="1" a="1"/>
  <c r="K87" i="1" s="1"/>
  <c r="K88" i="1" a="1"/>
  <c r="K88" i="1" s="1"/>
  <c r="K89" i="1" a="1"/>
  <c r="K89" i="1" s="1"/>
  <c r="K90" i="1" a="1"/>
  <c r="K90" i="1" s="1"/>
  <c r="K91" i="1" a="1"/>
  <c r="K91" i="1" s="1"/>
  <c r="K92" i="1" a="1"/>
  <c r="K92" i="1" s="1"/>
  <c r="K93" i="1" a="1"/>
  <c r="K93" i="1" s="1"/>
  <c r="K94" i="1" a="1"/>
  <c r="K94" i="1" s="1"/>
  <c r="K95" i="1" a="1"/>
  <c r="K95" i="1" s="1"/>
  <c r="K96" i="1" a="1"/>
  <c r="K96" i="1" s="1"/>
  <c r="K97" i="1" a="1"/>
  <c r="K97" i="1" s="1"/>
  <c r="K98" i="1" a="1"/>
  <c r="K98" i="1" s="1"/>
  <c r="K99" i="1" a="1"/>
  <c r="K99" i="1" s="1"/>
  <c r="K100" i="1" a="1"/>
  <c r="K100" i="1" s="1"/>
  <c r="K101" i="1" a="1"/>
  <c r="K101" i="1" s="1"/>
  <c r="K102" i="1" a="1"/>
  <c r="K102" i="1" s="1"/>
  <c r="K103" i="1" a="1"/>
  <c r="K103" i="1" s="1"/>
  <c r="K104" i="1" a="1"/>
  <c r="K104" i="1" s="1"/>
  <c r="K105" i="1" a="1"/>
  <c r="K105" i="1" s="1"/>
  <c r="K106" i="1" a="1"/>
  <c r="K106" i="1" s="1"/>
  <c r="K107" i="1" a="1"/>
  <c r="K107" i="1" s="1"/>
  <c r="K108" i="1" a="1"/>
  <c r="K108" i="1" s="1"/>
  <c r="K109" i="1" a="1"/>
  <c r="K109" i="1" s="1"/>
  <c r="K110" i="1" a="1"/>
  <c r="K110" i="1" s="1"/>
  <c r="K111" i="1" a="1"/>
  <c r="K111" i="1" s="1"/>
  <c r="K112" i="1" a="1"/>
  <c r="K112" i="1" s="1"/>
  <c r="K113" i="1" a="1"/>
  <c r="K113" i="1" s="1"/>
  <c r="K114" i="1" a="1"/>
  <c r="K114" i="1" s="1"/>
  <c r="K115" i="1" a="1"/>
  <c r="K115" i="1" s="1"/>
  <c r="K116" i="1" a="1"/>
  <c r="K116" i="1" s="1"/>
  <c r="K117" i="1" a="1"/>
  <c r="K117" i="1" s="1"/>
  <c r="K118" i="1" a="1"/>
  <c r="K118" i="1" s="1"/>
  <c r="K119" i="1" a="1"/>
  <c r="K119" i="1" s="1"/>
  <c r="K120" i="1" a="1"/>
  <c r="K120" i="1" s="1"/>
  <c r="K121" i="1" a="1"/>
  <c r="K121" i="1" s="1"/>
  <c r="K122" i="1" a="1"/>
  <c r="K122" i="1" s="1"/>
  <c r="K123" i="1" a="1"/>
  <c r="K123" i="1" s="1"/>
  <c r="K124" i="1" a="1"/>
  <c r="K124" i="1" s="1"/>
  <c r="K125" i="1" a="1"/>
  <c r="K125" i="1" s="1"/>
  <c r="K126" i="1" a="1"/>
  <c r="K126" i="1" s="1"/>
  <c r="K127" i="1" a="1"/>
  <c r="K127" i="1" s="1"/>
  <c r="K128" i="1" a="1"/>
  <c r="K128" i="1" s="1"/>
  <c r="K129" i="1" a="1"/>
  <c r="K129" i="1" s="1"/>
  <c r="K130" i="1" a="1"/>
  <c r="K130" i="1" s="1"/>
  <c r="K131" i="1" a="1"/>
  <c r="K131" i="1" s="1"/>
  <c r="K132" i="1" a="1"/>
  <c r="K132" i="1" s="1"/>
  <c r="K133" i="1" a="1"/>
  <c r="K133" i="1" s="1"/>
  <c r="K134" i="1" a="1"/>
  <c r="K134" i="1" s="1"/>
  <c r="K135" i="1" a="1"/>
  <c r="K135" i="1" s="1"/>
  <c r="K136" i="1" a="1"/>
  <c r="K136" i="1" s="1"/>
  <c r="K137" i="1" a="1"/>
  <c r="K137" i="1" s="1"/>
  <c r="K138" i="1" a="1"/>
  <c r="K138" i="1" s="1"/>
  <c r="K139" i="1" a="1"/>
  <c r="K139" i="1" s="1"/>
  <c r="K140" i="1" a="1"/>
  <c r="K140" i="1" s="1"/>
  <c r="K141" i="1" a="1"/>
  <c r="K141" i="1" s="1"/>
  <c r="K142" i="1" a="1"/>
  <c r="K142" i="1" s="1"/>
  <c r="K143" i="1" a="1"/>
  <c r="K143" i="1" s="1"/>
  <c r="K144" i="1" a="1"/>
  <c r="K144" i="1" s="1"/>
  <c r="K145" i="1" a="1"/>
  <c r="K145" i="1" s="1"/>
  <c r="K146" i="1" a="1"/>
  <c r="K146" i="1" s="1"/>
  <c r="K147" i="1" a="1"/>
  <c r="K147" i="1" s="1"/>
  <c r="K148" i="1" a="1"/>
  <c r="K148" i="1" s="1"/>
  <c r="K149" i="1" a="1"/>
  <c r="K149" i="1" s="1"/>
  <c r="K150" i="1" a="1"/>
  <c r="K150" i="1" s="1"/>
  <c r="K151" i="1" a="1"/>
  <c r="K151" i="1" s="1"/>
  <c r="K152" i="1" a="1"/>
  <c r="K152" i="1" s="1"/>
  <c r="K153" i="1" a="1"/>
  <c r="K153" i="1" s="1"/>
  <c r="K154" i="1" a="1"/>
  <c r="K154" i="1" s="1"/>
  <c r="K155" i="1" a="1"/>
  <c r="K155" i="1" s="1"/>
  <c r="K156" i="1" a="1"/>
  <c r="K156" i="1" s="1"/>
  <c r="K157" i="1" a="1"/>
  <c r="K157" i="1" s="1"/>
  <c r="K158" i="1" a="1"/>
  <c r="K158" i="1" s="1"/>
  <c r="K159" i="1" a="1"/>
  <c r="K159" i="1" s="1"/>
  <c r="K160" i="1" a="1"/>
  <c r="K160" i="1" s="1"/>
  <c r="K161" i="1" a="1"/>
  <c r="K161" i="1" s="1"/>
  <c r="K162" i="1" a="1"/>
  <c r="K162" i="1" s="1"/>
  <c r="K163" i="1" a="1"/>
  <c r="K163" i="1" s="1"/>
  <c r="K164" i="1" a="1"/>
  <c r="K164" i="1" s="1"/>
  <c r="K165" i="1" a="1"/>
  <c r="K165" i="1" s="1"/>
  <c r="K166" i="1" a="1"/>
  <c r="K166" i="1" s="1"/>
  <c r="K167" i="1" a="1"/>
  <c r="K167" i="1" s="1"/>
  <c r="K168" i="1" a="1"/>
  <c r="K168" i="1" s="1"/>
  <c r="K169" i="1" a="1"/>
  <c r="K169" i="1" s="1"/>
  <c r="K170" i="1" a="1"/>
  <c r="K170" i="1" s="1"/>
  <c r="K171" i="1" a="1"/>
  <c r="K171" i="1" s="1"/>
  <c r="K172" i="1" a="1"/>
  <c r="K172" i="1" s="1"/>
  <c r="K173" i="1" a="1"/>
  <c r="K173" i="1" s="1"/>
  <c r="K174" i="1" a="1"/>
  <c r="K174" i="1" s="1"/>
  <c r="K175" i="1" a="1"/>
  <c r="K175" i="1" s="1"/>
  <c r="K176" i="1" a="1"/>
  <c r="K176" i="1" s="1"/>
  <c r="K177" i="1" a="1"/>
  <c r="K177" i="1" s="1"/>
  <c r="K178" i="1" a="1"/>
  <c r="K178" i="1" s="1"/>
  <c r="K179" i="1" a="1"/>
  <c r="K179" i="1" s="1"/>
  <c r="K180" i="1" a="1"/>
  <c r="K180" i="1" s="1"/>
  <c r="K181" i="1" a="1"/>
  <c r="K181" i="1" s="1"/>
  <c r="K182" i="1" a="1"/>
  <c r="K182" i="1" s="1"/>
  <c r="K183" i="1" a="1"/>
  <c r="K183" i="1" s="1"/>
  <c r="K184" i="1" a="1"/>
  <c r="K184" i="1" s="1"/>
  <c r="K185" i="1" a="1"/>
  <c r="K185" i="1" s="1"/>
  <c r="K186" i="1" a="1"/>
  <c r="K186" i="1" s="1"/>
  <c r="K187" i="1" a="1"/>
  <c r="K187" i="1" s="1"/>
  <c r="K188" i="1" a="1"/>
  <c r="K188" i="1" s="1"/>
  <c r="K189" i="1" a="1"/>
  <c r="K189" i="1" s="1"/>
  <c r="K190" i="1" a="1"/>
  <c r="K190" i="1" s="1"/>
  <c r="K191" i="1" a="1"/>
  <c r="K191" i="1" s="1"/>
  <c r="K192" i="1" a="1"/>
  <c r="K192" i="1" s="1"/>
  <c r="K193" i="1" a="1"/>
  <c r="K193" i="1" s="1"/>
  <c r="K194" i="1" a="1"/>
  <c r="K194" i="1" s="1"/>
  <c r="K195" i="1" a="1"/>
  <c r="K195" i="1" s="1"/>
  <c r="K196" i="1" a="1"/>
  <c r="K196" i="1" s="1"/>
  <c r="K197" i="1" a="1"/>
  <c r="K197" i="1" s="1"/>
  <c r="K198" i="1" a="1"/>
  <c r="K198" i="1" s="1"/>
  <c r="K199" i="1" a="1"/>
  <c r="K199" i="1" s="1"/>
  <c r="K200" i="1" a="1"/>
  <c r="K200" i="1" s="1"/>
  <c r="K201" i="1" a="1"/>
  <c r="K201" i="1" s="1"/>
  <c r="K202" i="1" a="1"/>
  <c r="K202" i="1" s="1"/>
  <c r="K203" i="1" a="1"/>
  <c r="K203" i="1" s="1"/>
  <c r="K204" i="1" a="1"/>
  <c r="K204" i="1" s="1"/>
  <c r="K205" i="1" a="1"/>
  <c r="K205" i="1" s="1"/>
  <c r="K206" i="1" a="1"/>
  <c r="K206" i="1" s="1"/>
  <c r="K207" i="1" a="1"/>
  <c r="K207" i="1" s="1"/>
  <c r="K208" i="1" a="1"/>
  <c r="K208" i="1" s="1"/>
  <c r="K209" i="1" a="1"/>
  <c r="K209" i="1" s="1"/>
  <c r="K210" i="1" a="1"/>
  <c r="K210" i="1" s="1"/>
  <c r="K211" i="1" a="1"/>
  <c r="K211" i="1" s="1"/>
  <c r="K212" i="1" a="1"/>
  <c r="K212" i="1" s="1"/>
  <c r="K213" i="1" a="1"/>
  <c r="K213" i="1" s="1"/>
  <c r="K214" i="1" a="1"/>
  <c r="K214" i="1" s="1"/>
  <c r="K215" i="1" a="1"/>
  <c r="K215" i="1" s="1"/>
  <c r="K216" i="1" a="1"/>
  <c r="K216" i="1" s="1"/>
  <c r="K217" i="1" a="1"/>
  <c r="K217" i="1" s="1"/>
  <c r="K218" i="1" a="1"/>
  <c r="K218" i="1" s="1"/>
  <c r="K219" i="1" a="1"/>
  <c r="K219" i="1" s="1"/>
  <c r="K220" i="1" a="1"/>
  <c r="K220" i="1" s="1"/>
  <c r="K221" i="1" a="1"/>
  <c r="K221" i="1" s="1"/>
  <c r="K222" i="1" a="1"/>
  <c r="K222" i="1" s="1"/>
  <c r="K223" i="1" a="1"/>
  <c r="K223" i="1" s="1"/>
  <c r="K224" i="1" a="1"/>
  <c r="K224" i="1" s="1"/>
  <c r="K225" i="1" a="1"/>
  <c r="K225" i="1" s="1"/>
  <c r="K226" i="1" a="1"/>
  <c r="K226" i="1" s="1"/>
  <c r="K227" i="1" a="1"/>
  <c r="K227" i="1" s="1"/>
  <c r="K228" i="1" a="1"/>
  <c r="K228" i="1" s="1"/>
  <c r="K229" i="1" a="1"/>
  <c r="K229" i="1" s="1"/>
  <c r="K230" i="1" a="1"/>
  <c r="K230" i="1" s="1"/>
  <c r="K231" i="1" a="1"/>
  <c r="K231" i="1" s="1"/>
  <c r="K232" i="1" a="1"/>
  <c r="K232" i="1" s="1"/>
  <c r="K233" i="1" a="1"/>
  <c r="K233" i="1" s="1"/>
  <c r="K234" i="1" a="1"/>
  <c r="K234" i="1" s="1"/>
  <c r="K235" i="1" a="1"/>
  <c r="K235" i="1" s="1"/>
  <c r="K236" i="1" a="1"/>
  <c r="K236" i="1" s="1"/>
  <c r="K237" i="1" a="1"/>
  <c r="K237" i="1" s="1"/>
  <c r="K238" i="1" a="1"/>
  <c r="K238" i="1" s="1"/>
  <c r="K239" i="1" a="1"/>
  <c r="K239" i="1" s="1"/>
  <c r="K240" i="1" a="1"/>
  <c r="K240" i="1" s="1"/>
  <c r="K241" i="1" a="1"/>
  <c r="K241" i="1" s="1"/>
  <c r="K242" i="1" a="1"/>
  <c r="K242" i="1" s="1"/>
  <c r="K243" i="1" a="1"/>
  <c r="K243" i="1" s="1"/>
  <c r="K244" i="1" a="1"/>
  <c r="K244" i="1" s="1"/>
  <c r="K245" i="1" a="1"/>
  <c r="K245" i="1" s="1"/>
  <c r="K246" i="1" a="1"/>
  <c r="K246" i="1" s="1"/>
  <c r="K247" i="1" a="1"/>
  <c r="K247" i="1" s="1"/>
  <c r="K248" i="1" a="1"/>
  <c r="K248" i="1" s="1"/>
  <c r="K249" i="1" a="1"/>
  <c r="K249" i="1" s="1"/>
  <c r="K250" i="1" a="1"/>
  <c r="K250" i="1" s="1"/>
  <c r="K251" i="1" a="1"/>
  <c r="K251" i="1" s="1"/>
  <c r="K252" i="1" a="1"/>
  <c r="K252" i="1" s="1"/>
  <c r="K253" i="1" a="1"/>
  <c r="K253" i="1" s="1"/>
  <c r="K254" i="1" a="1"/>
  <c r="K254" i="1" s="1"/>
  <c r="K255" i="1" a="1"/>
  <c r="K255" i="1" s="1"/>
  <c r="K256" i="1" a="1"/>
  <c r="K256" i="1" s="1"/>
  <c r="K257" i="1" a="1"/>
  <c r="K257" i="1" s="1"/>
  <c r="K258" i="1" a="1"/>
  <c r="K258" i="1" s="1"/>
  <c r="K259" i="1" a="1"/>
  <c r="K259" i="1" s="1"/>
  <c r="K260" i="1" a="1"/>
  <c r="K260" i="1" s="1"/>
  <c r="K261" i="1" a="1"/>
  <c r="K261" i="1" s="1"/>
  <c r="K262" i="1" a="1"/>
  <c r="K262" i="1" s="1"/>
  <c r="K263" i="1" a="1"/>
  <c r="K263" i="1" s="1"/>
  <c r="K264" i="1" a="1"/>
  <c r="K264" i="1" s="1"/>
  <c r="K265" i="1" a="1"/>
  <c r="K265" i="1" s="1"/>
  <c r="K266" i="1" a="1"/>
  <c r="K266" i="1" s="1"/>
  <c r="K267" i="1" a="1"/>
  <c r="K267" i="1" s="1"/>
  <c r="K268" i="1" a="1"/>
  <c r="K268" i="1" s="1"/>
  <c r="K269" i="1" a="1"/>
  <c r="K269" i="1" s="1"/>
  <c r="K270" i="1" a="1"/>
  <c r="K270" i="1" s="1"/>
  <c r="K271" i="1" a="1"/>
  <c r="K271" i="1" s="1"/>
  <c r="K272" i="1" a="1"/>
  <c r="K272" i="1" s="1"/>
  <c r="K273" i="1" a="1"/>
  <c r="K273" i="1" s="1"/>
  <c r="K274" i="1" a="1"/>
  <c r="K274" i="1" s="1"/>
  <c r="K275" i="1" a="1"/>
  <c r="K275" i="1" s="1"/>
  <c r="K276" i="1" a="1"/>
  <c r="K276" i="1" s="1"/>
  <c r="K277" i="1" a="1"/>
  <c r="K277" i="1" s="1"/>
  <c r="K278" i="1" a="1"/>
  <c r="K278" i="1" s="1"/>
  <c r="K279" i="1" a="1"/>
  <c r="K279" i="1" s="1"/>
  <c r="K280" i="1" a="1"/>
  <c r="K280" i="1" s="1"/>
  <c r="K281" i="1" a="1"/>
  <c r="K281" i="1" s="1"/>
  <c r="K282" i="1" a="1"/>
  <c r="K282" i="1" s="1"/>
  <c r="K283" i="1" a="1"/>
  <c r="K283" i="1" s="1"/>
  <c r="K284" i="1" a="1"/>
  <c r="K284" i="1" s="1"/>
  <c r="K285" i="1" a="1"/>
  <c r="K285" i="1" s="1"/>
  <c r="K286" i="1" a="1"/>
  <c r="K286" i="1" s="1"/>
  <c r="K287" i="1" a="1"/>
  <c r="K287" i="1" s="1"/>
  <c r="K288" i="1" a="1"/>
  <c r="K288" i="1" s="1"/>
  <c r="K289" i="1" a="1"/>
  <c r="K289" i="1" s="1"/>
  <c r="K290" i="1" a="1"/>
  <c r="K290" i="1" s="1"/>
  <c r="K291" i="1" a="1"/>
  <c r="K291" i="1" s="1"/>
  <c r="K292" i="1" a="1"/>
  <c r="K292" i="1" s="1"/>
  <c r="K293" i="1" a="1"/>
  <c r="K293" i="1" s="1"/>
  <c r="K294" i="1" a="1"/>
  <c r="K294" i="1" s="1"/>
  <c r="K295" i="1" a="1"/>
  <c r="K295" i="1" s="1"/>
  <c r="K296" i="1" a="1"/>
  <c r="K296" i="1" s="1"/>
  <c r="K297" i="1" a="1"/>
  <c r="K297" i="1" s="1"/>
  <c r="K298" i="1" a="1"/>
  <c r="K298" i="1" s="1"/>
  <c r="K299" i="1" a="1"/>
  <c r="K299" i="1" s="1"/>
  <c r="K300" i="1" a="1"/>
  <c r="K300" i="1" s="1"/>
  <c r="K301" i="1" a="1"/>
  <c r="K301" i="1" s="1"/>
  <c r="K302" i="1" a="1"/>
  <c r="K302" i="1" s="1"/>
  <c r="K303" i="1" a="1"/>
  <c r="K303" i="1" s="1"/>
  <c r="K304" i="1" a="1"/>
  <c r="K304" i="1" s="1"/>
  <c r="K305" i="1" a="1"/>
  <c r="K305" i="1" s="1"/>
  <c r="K306" i="1" a="1"/>
  <c r="K306" i="1" s="1"/>
  <c r="K307" i="1" a="1"/>
  <c r="K307" i="1" s="1"/>
  <c r="K308" i="1" a="1"/>
  <c r="K308" i="1" s="1"/>
  <c r="K309" i="1" a="1"/>
  <c r="K309" i="1" s="1"/>
  <c r="K310" i="1" a="1"/>
  <c r="K310" i="1" s="1"/>
  <c r="K311" i="1" a="1"/>
  <c r="K311" i="1" s="1"/>
  <c r="K312" i="1" a="1"/>
  <c r="K312" i="1" s="1"/>
  <c r="K313" i="1" a="1"/>
  <c r="K313" i="1" s="1"/>
  <c r="K314" i="1" a="1"/>
  <c r="K314" i="1" s="1"/>
  <c r="K315" i="1" a="1"/>
  <c r="K315" i="1" s="1"/>
  <c r="K316" i="1" a="1"/>
  <c r="K316" i="1" s="1"/>
  <c r="K317" i="1" a="1"/>
  <c r="K317" i="1" s="1"/>
  <c r="K318" i="1" a="1"/>
  <c r="K318" i="1" s="1"/>
  <c r="K319" i="1" a="1"/>
  <c r="K319" i="1" s="1"/>
  <c r="K320" i="1" a="1"/>
  <c r="K320" i="1" s="1"/>
  <c r="K321" i="1" a="1"/>
  <c r="K321" i="1" s="1"/>
  <c r="K322" i="1" a="1"/>
  <c r="K322" i="1" s="1"/>
  <c r="K323" i="1" a="1"/>
  <c r="K323" i="1" s="1"/>
  <c r="K324" i="1" a="1"/>
  <c r="K324" i="1" s="1"/>
  <c r="K325" i="1" a="1"/>
  <c r="K325" i="1" s="1"/>
  <c r="K326" i="1" a="1"/>
  <c r="K326" i="1" s="1"/>
  <c r="K327" i="1" a="1"/>
  <c r="K327" i="1" s="1"/>
  <c r="K328" i="1" a="1"/>
  <c r="K328" i="1" s="1"/>
  <c r="K329" i="1" a="1"/>
  <c r="K329" i="1" s="1"/>
  <c r="K330" i="1" a="1"/>
  <c r="K330" i="1" s="1"/>
  <c r="K331" i="1" a="1"/>
  <c r="K331" i="1" s="1"/>
  <c r="K332" i="1" a="1"/>
  <c r="K332" i="1" s="1"/>
  <c r="K333" i="1" a="1"/>
  <c r="K333" i="1" s="1"/>
  <c r="K334" i="1" a="1"/>
  <c r="K334" i="1" s="1"/>
  <c r="K335" i="1" a="1"/>
  <c r="K335" i="1" s="1"/>
  <c r="K336" i="1" a="1"/>
  <c r="K336" i="1" s="1"/>
  <c r="K337" i="1" a="1"/>
  <c r="K337" i="1" s="1"/>
  <c r="K338" i="1" a="1"/>
  <c r="K338" i="1" s="1"/>
  <c r="K339" i="1" a="1"/>
  <c r="K339" i="1" s="1"/>
  <c r="K340" i="1" a="1"/>
  <c r="K340" i="1" s="1"/>
  <c r="K341" i="1" a="1"/>
  <c r="K341" i="1" s="1"/>
  <c r="K342" i="1" a="1"/>
  <c r="K342" i="1" s="1"/>
  <c r="K343" i="1" a="1"/>
  <c r="K343" i="1" s="1"/>
  <c r="K344" i="1" a="1"/>
  <c r="K344" i="1" s="1"/>
  <c r="K345" i="1" a="1"/>
  <c r="K345" i="1" s="1"/>
  <c r="K346" i="1" a="1"/>
  <c r="K346" i="1" s="1"/>
  <c r="K347" i="1" a="1"/>
  <c r="K347" i="1" s="1"/>
  <c r="K348" i="1" a="1"/>
  <c r="K348" i="1" s="1"/>
  <c r="K349" i="1" a="1"/>
  <c r="K349" i="1" s="1"/>
  <c r="K350" i="1" a="1"/>
  <c r="K350" i="1" s="1"/>
  <c r="K351" i="1" a="1"/>
  <c r="K351" i="1" s="1"/>
  <c r="K352" i="1" a="1"/>
  <c r="K352" i="1" s="1"/>
  <c r="K353" i="1" a="1"/>
  <c r="K353" i="1" s="1"/>
  <c r="K354" i="1" a="1"/>
  <c r="K354" i="1" s="1"/>
  <c r="K355" i="1" a="1"/>
  <c r="K355" i="1" s="1"/>
  <c r="K356" i="1" a="1"/>
  <c r="K356" i="1" s="1"/>
  <c r="K357" i="1" a="1"/>
  <c r="K357" i="1" s="1"/>
  <c r="K358" i="1" a="1"/>
  <c r="K358" i="1" s="1"/>
  <c r="K359" i="1" a="1"/>
  <c r="K359" i="1" s="1"/>
  <c r="K360" i="1" a="1"/>
  <c r="K360" i="1" s="1"/>
  <c r="K361" i="1" a="1"/>
  <c r="K361" i="1" s="1"/>
  <c r="K362" i="1" a="1"/>
  <c r="K362" i="1" s="1"/>
  <c r="K363" i="1" a="1"/>
  <c r="K363" i="1" s="1"/>
  <c r="K364" i="1" a="1"/>
  <c r="K364" i="1" s="1"/>
  <c r="K365" i="1" a="1"/>
  <c r="K365" i="1" s="1"/>
  <c r="K366" i="1" a="1"/>
  <c r="K366" i="1" s="1"/>
  <c r="K367" i="1" a="1"/>
  <c r="K367" i="1" s="1"/>
  <c r="K368" i="1" a="1"/>
  <c r="K368" i="1" s="1"/>
  <c r="K369" i="1" a="1"/>
  <c r="K369" i="1" s="1"/>
  <c r="K370" i="1" a="1"/>
  <c r="K370" i="1" s="1"/>
  <c r="K371" i="1" a="1"/>
  <c r="K371" i="1" s="1"/>
  <c r="K372" i="1" a="1"/>
  <c r="K372" i="1" s="1"/>
  <c r="K373" i="1" a="1"/>
  <c r="K373" i="1" s="1"/>
  <c r="K374" i="1" a="1"/>
  <c r="K374" i="1" s="1"/>
  <c r="K375" i="1" a="1"/>
  <c r="K375" i="1" s="1"/>
  <c r="K376" i="1" a="1"/>
  <c r="K376" i="1" s="1"/>
  <c r="K377" i="1" a="1"/>
  <c r="K377" i="1" s="1"/>
  <c r="K378" i="1" a="1"/>
  <c r="K378" i="1" s="1"/>
  <c r="K379" i="1" a="1"/>
  <c r="K379" i="1" s="1"/>
  <c r="K380" i="1" a="1"/>
  <c r="K380" i="1" s="1"/>
  <c r="K381" i="1" a="1"/>
  <c r="K381" i="1" s="1"/>
  <c r="K382" i="1" a="1"/>
  <c r="K382" i="1" s="1"/>
  <c r="K383" i="1" a="1"/>
  <c r="K383" i="1" s="1"/>
  <c r="K384" i="1" a="1"/>
  <c r="K384" i="1" s="1"/>
  <c r="K385" i="1" a="1"/>
  <c r="K385" i="1" s="1"/>
  <c r="K386" i="1" a="1"/>
  <c r="K386" i="1" s="1"/>
  <c r="K387" i="1" a="1"/>
  <c r="K387" i="1" s="1"/>
  <c r="K388" i="1" a="1"/>
  <c r="K388" i="1" s="1"/>
  <c r="K389" i="1" a="1"/>
  <c r="K389" i="1" s="1"/>
  <c r="K390" i="1" a="1"/>
  <c r="K390" i="1" s="1"/>
  <c r="K391" i="1" a="1"/>
  <c r="K391" i="1" s="1"/>
  <c r="K392" i="1" a="1"/>
  <c r="K392" i="1" s="1"/>
  <c r="K393" i="1" a="1"/>
  <c r="K393" i="1" s="1"/>
  <c r="K394" i="1" a="1"/>
  <c r="K394" i="1" s="1"/>
  <c r="K395" i="1" a="1"/>
  <c r="K395" i="1" s="1"/>
  <c r="K396" i="1" a="1"/>
  <c r="K396" i="1" s="1"/>
  <c r="K397" i="1" a="1"/>
  <c r="K397" i="1" s="1"/>
  <c r="K398" i="1" a="1"/>
  <c r="K398" i="1" s="1"/>
  <c r="K399" i="1" a="1"/>
  <c r="K399" i="1" s="1"/>
  <c r="K400" i="1" a="1"/>
  <c r="K400" i="1" s="1"/>
  <c r="K401" i="1" a="1"/>
  <c r="K401" i="1" s="1"/>
  <c r="K402" i="1" a="1"/>
  <c r="K402" i="1" s="1"/>
  <c r="K403" i="1" a="1"/>
  <c r="K403" i="1" s="1"/>
  <c r="K404" i="1" a="1"/>
  <c r="K404" i="1" s="1"/>
  <c r="K405" i="1" a="1"/>
  <c r="K405" i="1" s="1"/>
  <c r="K406" i="1" a="1"/>
  <c r="K406" i="1" s="1"/>
  <c r="K407" i="1" a="1"/>
  <c r="K407" i="1" s="1"/>
  <c r="K408" i="1" a="1"/>
  <c r="K408" i="1" s="1"/>
  <c r="K409" i="1" a="1"/>
  <c r="K409" i="1" s="1"/>
  <c r="K410" i="1" a="1"/>
  <c r="K410" i="1" s="1"/>
  <c r="K411" i="1" a="1"/>
  <c r="K411" i="1" s="1"/>
  <c r="K412" i="1" a="1"/>
  <c r="K412" i="1" s="1"/>
  <c r="K413" i="1" a="1"/>
  <c r="K413" i="1" s="1"/>
  <c r="K414" i="1" a="1"/>
  <c r="K414" i="1" s="1"/>
  <c r="K415" i="1" a="1"/>
  <c r="K415" i="1" s="1"/>
  <c r="K416" i="1" a="1"/>
  <c r="K416" i="1" s="1"/>
  <c r="K417" i="1" a="1"/>
  <c r="K417" i="1" s="1"/>
  <c r="K418" i="1" a="1"/>
  <c r="K418" i="1" s="1"/>
  <c r="K419" i="1" a="1"/>
  <c r="K419" i="1" s="1"/>
  <c r="K420" i="1" a="1"/>
  <c r="K420" i="1" s="1"/>
  <c r="K421" i="1" a="1"/>
  <c r="K421" i="1" s="1"/>
  <c r="K422" i="1" a="1"/>
  <c r="K422" i="1" s="1"/>
  <c r="K423" i="1" a="1"/>
  <c r="K423" i="1" s="1"/>
  <c r="K424" i="1" a="1"/>
  <c r="K424" i="1" s="1"/>
  <c r="K425" i="1" a="1"/>
  <c r="K425" i="1" s="1"/>
  <c r="K426" i="1" a="1"/>
  <c r="K426" i="1" s="1"/>
  <c r="K427" i="1" a="1"/>
  <c r="K427" i="1" s="1"/>
  <c r="K428" i="1" a="1"/>
  <c r="K428" i="1" s="1"/>
  <c r="K429" i="1" a="1"/>
  <c r="K429" i="1" s="1"/>
  <c r="K430" i="1" a="1"/>
  <c r="K430" i="1" s="1"/>
  <c r="K431" i="1" a="1"/>
  <c r="K431" i="1" s="1"/>
  <c r="K432" i="1" a="1"/>
  <c r="K432" i="1" s="1"/>
  <c r="K433" i="1" a="1"/>
  <c r="K433" i="1" s="1"/>
  <c r="K434" i="1" a="1"/>
  <c r="K434" i="1" s="1"/>
  <c r="K435" i="1" a="1"/>
  <c r="K435" i="1" s="1"/>
  <c r="K436" i="1" a="1"/>
  <c r="K436" i="1" s="1"/>
  <c r="K437" i="1" a="1"/>
  <c r="K437" i="1" s="1"/>
  <c r="K438" i="1" a="1"/>
  <c r="K438" i="1" s="1"/>
  <c r="K439" i="1" a="1"/>
  <c r="K439" i="1" s="1"/>
  <c r="K440" i="1" a="1"/>
  <c r="K440" i="1" s="1"/>
  <c r="K441" i="1" a="1"/>
  <c r="K441" i="1" s="1"/>
  <c r="K442" i="1" a="1"/>
  <c r="K442" i="1" s="1"/>
  <c r="K443" i="1" a="1"/>
  <c r="K443" i="1" s="1"/>
  <c r="K444" i="1" a="1"/>
  <c r="K444" i="1" s="1"/>
  <c r="K445" i="1" a="1"/>
  <c r="K445" i="1" s="1"/>
  <c r="K446" i="1" a="1"/>
  <c r="K446" i="1" s="1"/>
  <c r="K447" i="1" a="1"/>
  <c r="K447" i="1" s="1"/>
  <c r="K448" i="1" a="1"/>
  <c r="K448" i="1" s="1"/>
  <c r="K449" i="1" a="1"/>
  <c r="K449" i="1" s="1"/>
  <c r="K450" i="1" a="1"/>
  <c r="K450" i="1" s="1"/>
  <c r="K451" i="1" a="1"/>
  <c r="K451" i="1" s="1"/>
  <c r="K452" i="1" a="1"/>
  <c r="K452" i="1" s="1"/>
  <c r="K453" i="1" a="1"/>
  <c r="K453" i="1" s="1"/>
  <c r="K454" i="1" a="1"/>
  <c r="K454" i="1" s="1"/>
  <c r="K455" i="1" a="1"/>
  <c r="K455" i="1" s="1"/>
  <c r="K456" i="1" a="1"/>
  <c r="K456" i="1" s="1"/>
  <c r="K457" i="1" a="1"/>
  <c r="K457" i="1" s="1"/>
  <c r="K458" i="1" a="1"/>
  <c r="K458" i="1" s="1"/>
  <c r="K459" i="1" a="1"/>
  <c r="K459" i="1" s="1"/>
  <c r="K460" i="1" a="1"/>
  <c r="K460" i="1" s="1"/>
  <c r="K461" i="1" a="1"/>
  <c r="K461" i="1" s="1"/>
  <c r="K462" i="1" a="1"/>
  <c r="K462" i="1" s="1"/>
  <c r="K463" i="1" a="1"/>
  <c r="K463" i="1" s="1"/>
  <c r="K464" i="1" a="1"/>
  <c r="K464" i="1" s="1"/>
  <c r="K465" i="1" a="1"/>
  <c r="K465" i="1" s="1"/>
  <c r="K466" i="1" a="1"/>
  <c r="K466" i="1" s="1"/>
  <c r="K467" i="1" a="1"/>
  <c r="K467" i="1" s="1"/>
  <c r="K468" i="1" a="1"/>
  <c r="K468" i="1" s="1"/>
  <c r="K469" i="1" a="1"/>
  <c r="K469" i="1" s="1"/>
  <c r="K470" i="1" a="1"/>
  <c r="K470" i="1" s="1"/>
  <c r="K471" i="1" a="1"/>
  <c r="K471" i="1" s="1"/>
  <c r="K472" i="1" a="1"/>
  <c r="K472" i="1" s="1"/>
  <c r="K473" i="1" a="1"/>
  <c r="K473" i="1" s="1"/>
  <c r="K474" i="1" a="1"/>
  <c r="K474" i="1" s="1"/>
  <c r="K475" i="1" a="1"/>
  <c r="K475" i="1" s="1"/>
  <c r="K476" i="1" a="1"/>
  <c r="K476" i="1" s="1"/>
  <c r="K477" i="1" a="1"/>
  <c r="K477" i="1" s="1"/>
  <c r="K478" i="1" a="1"/>
  <c r="K478" i="1" s="1"/>
  <c r="K479" i="1" a="1"/>
  <c r="K479" i="1" s="1"/>
  <c r="K480" i="1" a="1"/>
  <c r="K480" i="1" s="1"/>
  <c r="K481" i="1" a="1"/>
  <c r="K481" i="1" s="1"/>
  <c r="K482" i="1" a="1"/>
  <c r="K482" i="1" s="1"/>
  <c r="K483" i="1" a="1"/>
  <c r="K483" i="1" s="1"/>
  <c r="K484" i="1" a="1"/>
  <c r="K484" i="1" s="1"/>
  <c r="K485" i="1" a="1"/>
  <c r="K485" i="1" s="1"/>
  <c r="K486" i="1" a="1"/>
  <c r="K486" i="1" s="1"/>
  <c r="K487" i="1" a="1"/>
  <c r="K487" i="1" s="1"/>
  <c r="K488" i="1" a="1"/>
  <c r="K488" i="1" s="1"/>
  <c r="K489" i="1" a="1"/>
  <c r="K489" i="1" s="1"/>
  <c r="K490" i="1" a="1"/>
  <c r="K490" i="1" s="1"/>
  <c r="K491" i="1" a="1"/>
  <c r="K491" i="1" s="1"/>
  <c r="K492" i="1" a="1"/>
  <c r="K492" i="1" s="1"/>
  <c r="K493" i="1" a="1"/>
  <c r="K493" i="1" s="1"/>
  <c r="K494" i="1" a="1"/>
  <c r="K494" i="1" s="1"/>
  <c r="K495" i="1" a="1"/>
  <c r="K495" i="1" s="1"/>
  <c r="K496" i="1" a="1"/>
  <c r="K496" i="1" s="1"/>
  <c r="K497" i="1" a="1"/>
  <c r="K497" i="1" s="1"/>
  <c r="K498" i="1" a="1"/>
  <c r="K498" i="1" s="1"/>
  <c r="K499" i="1" a="1"/>
  <c r="K499" i="1" s="1"/>
  <c r="K500" i="1" a="1"/>
  <c r="K500" i="1" s="1"/>
  <c r="K501" i="1" a="1"/>
  <c r="K501" i="1" s="1"/>
  <c r="K2" i="1" a="1"/>
  <c r="K2" i="1" s="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16" i="1"/>
  <c r="J3" i="1"/>
  <c r="J4" i="1"/>
  <c r="J5" i="1"/>
  <c r="J6" i="1"/>
  <c r="J7" i="1"/>
  <c r="J8" i="1"/>
  <c r="J9" i="1"/>
  <c r="J10" i="1"/>
  <c r="J11" i="1"/>
  <c r="J12" i="1"/>
  <c r="J13" i="1"/>
  <c r="J14" i="1"/>
  <c r="J15" i="1"/>
  <c r="J2" i="1"/>
  <c r="N493" i="1" l="1"/>
  <c r="N258" i="1"/>
  <c r="N497" i="1"/>
  <c r="N485" i="1"/>
  <c r="N473" i="1"/>
  <c r="N457" i="1"/>
  <c r="N441" i="1"/>
  <c r="N425" i="1"/>
  <c r="N405" i="1"/>
  <c r="N389" i="1"/>
  <c r="N369" i="1"/>
  <c r="N477" i="1"/>
  <c r="N469" i="1"/>
  <c r="N449" i="1"/>
  <c r="N433" i="1"/>
  <c r="N417" i="1"/>
  <c r="N413" i="1"/>
  <c r="N393" i="1"/>
  <c r="N381" i="1"/>
  <c r="N365" i="1"/>
  <c r="N353" i="1"/>
  <c r="N341" i="1"/>
  <c r="N329" i="1"/>
  <c r="N321" i="1"/>
  <c r="N309" i="1"/>
  <c r="N301" i="1"/>
  <c r="N289" i="1"/>
  <c r="N277" i="1"/>
  <c r="N265" i="1"/>
  <c r="N253" i="1"/>
  <c r="N241" i="1"/>
  <c r="N229" i="1"/>
  <c r="N213" i="1"/>
  <c r="N197" i="1"/>
  <c r="N193" i="1"/>
  <c r="N181" i="1"/>
  <c r="N169" i="1"/>
  <c r="N157" i="1"/>
  <c r="N149" i="1"/>
  <c r="N137" i="1"/>
  <c r="N125" i="1"/>
  <c r="N109" i="1"/>
  <c r="N101" i="1"/>
  <c r="N89" i="1"/>
  <c r="N77" i="1"/>
  <c r="N488" i="1"/>
  <c r="N456" i="1"/>
  <c r="N440" i="1"/>
  <c r="N424" i="1"/>
  <c r="N408" i="1"/>
  <c r="N392" i="1"/>
  <c r="N376" i="1"/>
  <c r="N360" i="1"/>
  <c r="N344" i="1"/>
  <c r="N464" i="1"/>
  <c r="N400" i="1"/>
  <c r="N322" i="1"/>
  <c r="N499" i="1"/>
  <c r="N495" i="1"/>
  <c r="N491" i="1"/>
  <c r="N487" i="1"/>
  <c r="N483" i="1"/>
  <c r="N479" i="1"/>
  <c r="N448" i="1"/>
  <c r="N384" i="1"/>
  <c r="N501" i="1"/>
  <c r="N489" i="1"/>
  <c r="N481" i="1"/>
  <c r="N461" i="1"/>
  <c r="N445" i="1"/>
  <c r="N429" i="1"/>
  <c r="N409" i="1"/>
  <c r="N397" i="1"/>
  <c r="N377" i="1"/>
  <c r="N361" i="1"/>
  <c r="N349" i="1"/>
  <c r="N337" i="1"/>
  <c r="N325" i="1"/>
  <c r="N313" i="1"/>
  <c r="N297" i="1"/>
  <c r="N285" i="1"/>
  <c r="N273" i="1"/>
  <c r="N257" i="1"/>
  <c r="N245" i="1"/>
  <c r="N233" i="1"/>
  <c r="N221" i="1"/>
  <c r="N209" i="1"/>
  <c r="N201" i="1"/>
  <c r="N185" i="1"/>
  <c r="N173" i="1"/>
  <c r="N161" i="1"/>
  <c r="N145" i="1"/>
  <c r="N133" i="1"/>
  <c r="N121" i="1"/>
  <c r="N117" i="1"/>
  <c r="N97" i="1"/>
  <c r="N85" i="1"/>
  <c r="N69" i="1"/>
  <c r="N472" i="1"/>
  <c r="M2" i="1"/>
  <c r="N18" i="1"/>
  <c r="N82" i="1"/>
  <c r="N34" i="1"/>
  <c r="N98" i="1"/>
  <c r="N50" i="1"/>
  <c r="N114" i="1"/>
  <c r="N66" i="1"/>
  <c r="N498" i="1"/>
  <c r="N494" i="1"/>
  <c r="N490" i="1"/>
  <c r="N486" i="1"/>
  <c r="N482" i="1"/>
  <c r="N478" i="1"/>
  <c r="N474" i="1"/>
  <c r="N470" i="1"/>
  <c r="N466" i="1"/>
  <c r="N462" i="1"/>
  <c r="N458" i="1"/>
  <c r="N496" i="1"/>
  <c r="N432" i="1"/>
  <c r="N368" i="1"/>
  <c r="N194" i="1"/>
  <c r="N465" i="1"/>
  <c r="N453" i="1"/>
  <c r="N437" i="1"/>
  <c r="N421" i="1"/>
  <c r="N401" i="1"/>
  <c r="N385" i="1"/>
  <c r="N373" i="1"/>
  <c r="N357" i="1"/>
  <c r="N345" i="1"/>
  <c r="N333" i="1"/>
  <c r="N317" i="1"/>
  <c r="N305" i="1"/>
  <c r="N293" i="1"/>
  <c r="N281" i="1"/>
  <c r="N269" i="1"/>
  <c r="N261" i="1"/>
  <c r="N249" i="1"/>
  <c r="N237" i="1"/>
  <c r="N225" i="1"/>
  <c r="N217" i="1"/>
  <c r="N205" i="1"/>
  <c r="N189" i="1"/>
  <c r="N177" i="1"/>
  <c r="N165" i="1"/>
  <c r="N153" i="1"/>
  <c r="N141" i="1"/>
  <c r="N129" i="1"/>
  <c r="N113" i="1"/>
  <c r="N105" i="1"/>
  <c r="N93" i="1"/>
  <c r="N81" i="1"/>
  <c r="N73" i="1"/>
  <c r="N65" i="1"/>
  <c r="N61" i="1"/>
  <c r="N57" i="1"/>
  <c r="N53" i="1"/>
  <c r="N49" i="1"/>
  <c r="N45" i="1"/>
  <c r="N41" i="1"/>
  <c r="N37" i="1"/>
  <c r="N33" i="1"/>
  <c r="N29" i="1"/>
  <c r="N25" i="1"/>
  <c r="N21" i="1"/>
  <c r="N17" i="1"/>
  <c r="N13" i="1"/>
  <c r="N9" i="1"/>
  <c r="N5" i="1"/>
  <c r="N480" i="1"/>
  <c r="N416" i="1"/>
  <c r="N352" i="1"/>
  <c r="N130" i="1"/>
  <c r="N340" i="1"/>
  <c r="N336" i="1"/>
  <c r="N332" i="1"/>
  <c r="N328" i="1"/>
  <c r="N324" i="1"/>
  <c r="N320" i="1"/>
  <c r="N316" i="1"/>
  <c r="N312" i="1"/>
  <c r="N308" i="1"/>
  <c r="N304" i="1"/>
  <c r="N300" i="1"/>
  <c r="N296" i="1"/>
  <c r="N292" i="1"/>
  <c r="N288" i="1"/>
  <c r="N284" i="1"/>
  <c r="N280" i="1"/>
  <c r="N276" i="1"/>
  <c r="N272" i="1"/>
  <c r="N268" i="1"/>
  <c r="N264" i="1"/>
  <c r="N260" i="1"/>
  <c r="N256" i="1"/>
  <c r="N252" i="1"/>
  <c r="N248" i="1"/>
  <c r="N244" i="1"/>
  <c r="N240" i="1"/>
  <c r="N236" i="1"/>
  <c r="N232" i="1"/>
  <c r="N228" i="1"/>
  <c r="N224" i="1"/>
  <c r="N220" i="1"/>
  <c r="N216" i="1"/>
  <c r="N212" i="1"/>
  <c r="N208" i="1"/>
  <c r="N204" i="1"/>
  <c r="N200" i="1"/>
  <c r="N196" i="1"/>
  <c r="N192" i="1"/>
  <c r="N188" i="1"/>
  <c r="N184" i="1"/>
  <c r="N180" i="1"/>
  <c r="N176" i="1"/>
  <c r="N172" i="1"/>
  <c r="N168" i="1"/>
  <c r="N164" i="1"/>
  <c r="N160" i="1"/>
  <c r="N156" i="1"/>
  <c r="N152" i="1"/>
  <c r="N148" i="1"/>
  <c r="N144" i="1"/>
  <c r="N140" i="1"/>
  <c r="N136" i="1"/>
  <c r="N132" i="1"/>
  <c r="N128" i="1"/>
  <c r="N124" i="1"/>
  <c r="N120" i="1"/>
  <c r="N116" i="1"/>
  <c r="N112" i="1"/>
  <c r="N108" i="1"/>
  <c r="N104" i="1"/>
  <c r="N100" i="1"/>
  <c r="N96" i="1"/>
  <c r="N92" i="1"/>
  <c r="N88" i="1"/>
  <c r="N84" i="1"/>
  <c r="N80" i="1"/>
  <c r="N76" i="1"/>
  <c r="N72" i="1"/>
  <c r="N68" i="1"/>
  <c r="N492" i="1"/>
  <c r="N476" i="1"/>
  <c r="N460" i="1"/>
  <c r="N444" i="1"/>
  <c r="N428" i="1"/>
  <c r="N412" i="1"/>
  <c r="N396" i="1"/>
  <c r="N380" i="1"/>
  <c r="N364" i="1"/>
  <c r="N348" i="1"/>
  <c r="N306" i="1"/>
  <c r="N242" i="1"/>
  <c r="N178" i="1"/>
  <c r="N475" i="1"/>
  <c r="N471" i="1"/>
  <c r="N467" i="1"/>
  <c r="N463" i="1"/>
  <c r="N459" i="1"/>
  <c r="N455" i="1"/>
  <c r="N451" i="1"/>
  <c r="N447" i="1"/>
  <c r="N443" i="1"/>
  <c r="N439" i="1"/>
  <c r="N435" i="1"/>
  <c r="N431" i="1"/>
  <c r="N427" i="1"/>
  <c r="N423" i="1"/>
  <c r="N419" i="1"/>
  <c r="N415" i="1"/>
  <c r="N411" i="1"/>
  <c r="N407" i="1"/>
  <c r="N403" i="1"/>
  <c r="N399" i="1"/>
  <c r="N395" i="1"/>
  <c r="N391" i="1"/>
  <c r="N387" i="1"/>
  <c r="N383" i="1"/>
  <c r="N379" i="1"/>
  <c r="N375" i="1"/>
  <c r="N371" i="1"/>
  <c r="N367" i="1"/>
  <c r="N363" i="1"/>
  <c r="N359" i="1"/>
  <c r="N355" i="1"/>
  <c r="N351" i="1"/>
  <c r="N347" i="1"/>
  <c r="N343" i="1"/>
  <c r="N339" i="1"/>
  <c r="N335" i="1"/>
  <c r="N331" i="1"/>
  <c r="N327" i="1"/>
  <c r="N323" i="1"/>
  <c r="N319" i="1"/>
  <c r="N315" i="1"/>
  <c r="N311" i="1"/>
  <c r="N307" i="1"/>
  <c r="N303" i="1"/>
  <c r="N299" i="1"/>
  <c r="N295" i="1"/>
  <c r="N291" i="1"/>
  <c r="N287" i="1"/>
  <c r="N283" i="1"/>
  <c r="N279" i="1"/>
  <c r="N275" i="1"/>
  <c r="N271" i="1"/>
  <c r="N267" i="1"/>
  <c r="N263" i="1"/>
  <c r="N259" i="1"/>
  <c r="N255" i="1"/>
  <c r="N251" i="1"/>
  <c r="N247" i="1"/>
  <c r="N243" i="1"/>
  <c r="N239" i="1"/>
  <c r="N235" i="1"/>
  <c r="N231" i="1"/>
  <c r="N227" i="1"/>
  <c r="N223" i="1"/>
  <c r="N219" i="1"/>
  <c r="N215" i="1"/>
  <c r="N211" i="1"/>
  <c r="N207" i="1"/>
  <c r="N203" i="1"/>
  <c r="N199" i="1"/>
  <c r="N195" i="1"/>
  <c r="N191" i="1"/>
  <c r="N187" i="1"/>
  <c r="N183" i="1"/>
  <c r="N179" i="1"/>
  <c r="N175" i="1"/>
  <c r="N171" i="1"/>
  <c r="N167" i="1"/>
  <c r="N163" i="1"/>
  <c r="N159" i="1"/>
  <c r="N155" i="1"/>
  <c r="N151" i="1"/>
  <c r="N147" i="1"/>
  <c r="N143" i="1"/>
  <c r="N139" i="1"/>
  <c r="N135" i="1"/>
  <c r="N131" i="1"/>
  <c r="N127" i="1"/>
  <c r="N123" i="1"/>
  <c r="N119" i="1"/>
  <c r="N115" i="1"/>
  <c r="N111" i="1"/>
  <c r="N107" i="1"/>
  <c r="N103" i="1"/>
  <c r="N99" i="1"/>
  <c r="N290" i="1"/>
  <c r="N226" i="1"/>
  <c r="N162" i="1"/>
  <c r="N454" i="1"/>
  <c r="N450" i="1"/>
  <c r="N446" i="1"/>
  <c r="N442" i="1"/>
  <c r="N438" i="1"/>
  <c r="N434" i="1"/>
  <c r="N430" i="1"/>
  <c r="N426" i="1"/>
  <c r="N422" i="1"/>
  <c r="N418" i="1"/>
  <c r="N414" i="1"/>
  <c r="N410" i="1"/>
  <c r="N406" i="1"/>
  <c r="N402" i="1"/>
  <c r="N398" i="1"/>
  <c r="N394" i="1"/>
  <c r="N390" i="1"/>
  <c r="N386" i="1"/>
  <c r="N382" i="1"/>
  <c r="N378" i="1"/>
  <c r="N374" i="1"/>
  <c r="N370" i="1"/>
  <c r="N366" i="1"/>
  <c r="N362" i="1"/>
  <c r="N358" i="1"/>
  <c r="N354" i="1"/>
  <c r="N350" i="1"/>
  <c r="N346" i="1"/>
  <c r="N342" i="1"/>
  <c r="N334" i="1"/>
  <c r="N330" i="1"/>
  <c r="N326" i="1"/>
  <c r="N318" i="1"/>
  <c r="N314" i="1"/>
  <c r="N310" i="1"/>
  <c r="N302" i="1"/>
  <c r="N298" i="1"/>
  <c r="N294" i="1"/>
  <c r="N286" i="1"/>
  <c r="N282" i="1"/>
  <c r="N278" i="1"/>
  <c r="N270" i="1"/>
  <c r="N266" i="1"/>
  <c r="N262" i="1"/>
  <c r="N254" i="1"/>
  <c r="N250" i="1"/>
  <c r="N246" i="1"/>
  <c r="N238" i="1"/>
  <c r="N234" i="1"/>
  <c r="N230" i="1"/>
  <c r="N222" i="1"/>
  <c r="N218" i="1"/>
  <c r="N214" i="1"/>
  <c r="N206" i="1"/>
  <c r="N202" i="1"/>
  <c r="N198" i="1"/>
  <c r="N190" i="1"/>
  <c r="N186" i="1"/>
  <c r="N182" i="1"/>
  <c r="N174" i="1"/>
  <c r="N170" i="1"/>
  <c r="N166" i="1"/>
  <c r="N158" i="1"/>
  <c r="N154" i="1"/>
  <c r="N150" i="1"/>
  <c r="N142" i="1"/>
  <c r="N138" i="1"/>
  <c r="N134" i="1"/>
  <c r="N126" i="1"/>
  <c r="N122" i="1"/>
  <c r="N118" i="1"/>
  <c r="N110" i="1"/>
  <c r="N106" i="1"/>
  <c r="N102" i="1"/>
  <c r="N94" i="1"/>
  <c r="N90" i="1"/>
  <c r="N86" i="1"/>
  <c r="N500" i="1"/>
  <c r="N484" i="1"/>
  <c r="N468" i="1"/>
  <c r="N452" i="1"/>
  <c r="N436" i="1"/>
  <c r="N420" i="1"/>
  <c r="N404" i="1"/>
  <c r="N388" i="1"/>
  <c r="N372" i="1"/>
  <c r="N356" i="1"/>
  <c r="N338" i="1"/>
  <c r="N274" i="1"/>
  <c r="N210" i="1"/>
  <c r="N146" i="1"/>
  <c r="N64" i="1"/>
  <c r="N60" i="1"/>
  <c r="N56" i="1"/>
  <c r="N52" i="1"/>
  <c r="N48" i="1"/>
  <c r="N44" i="1"/>
  <c r="N40" i="1"/>
  <c r="N36" i="1"/>
  <c r="N32" i="1"/>
  <c r="N28" i="1"/>
  <c r="N24" i="1"/>
  <c r="N20" i="1"/>
  <c r="N16" i="1"/>
  <c r="N12" i="1"/>
  <c r="N8" i="1"/>
  <c r="N4" i="1"/>
  <c r="N78" i="1"/>
  <c r="N62" i="1"/>
  <c r="N46" i="1"/>
  <c r="N30" i="1"/>
  <c r="N14" i="1"/>
  <c r="N95" i="1"/>
  <c r="N91" i="1"/>
  <c r="N87" i="1"/>
  <c r="N83" i="1"/>
  <c r="N79" i="1"/>
  <c r="N75" i="1"/>
  <c r="N71" i="1"/>
  <c r="N67" i="1"/>
  <c r="N63" i="1"/>
  <c r="N59" i="1"/>
  <c r="N55" i="1"/>
  <c r="N51" i="1"/>
  <c r="N47" i="1"/>
  <c r="N43" i="1"/>
  <c r="N39" i="1"/>
  <c r="N35" i="1"/>
  <c r="N31" i="1"/>
  <c r="N27" i="1"/>
  <c r="N23" i="1"/>
  <c r="N19" i="1"/>
  <c r="N15" i="1"/>
  <c r="N11" i="1"/>
  <c r="N7" i="1"/>
  <c r="N3" i="1"/>
  <c r="N74" i="1"/>
  <c r="N58" i="1"/>
  <c r="N42" i="1"/>
  <c r="N26" i="1"/>
  <c r="N10" i="1"/>
  <c r="N70" i="1"/>
  <c r="N54" i="1"/>
  <c r="N38" i="1"/>
  <c r="N22" i="1"/>
  <c r="N6" i="1"/>
  <c r="N2" i="1"/>
  <c r="M110" i="1"/>
  <c r="M102" i="1"/>
  <c r="M440" i="1"/>
  <c r="M432" i="1"/>
  <c r="M424" i="1"/>
  <c r="M416" i="1"/>
  <c r="M408" i="1"/>
  <c r="M400" i="1"/>
  <c r="M392" i="1"/>
  <c r="M384" i="1"/>
  <c r="M376" i="1"/>
  <c r="M368" i="1"/>
  <c r="M360" i="1"/>
  <c r="M352" i="1"/>
  <c r="M344" i="1"/>
  <c r="M118" i="1"/>
  <c r="M106" i="1"/>
  <c r="M499" i="1"/>
  <c r="M495" i="1"/>
  <c r="M491" i="1"/>
  <c r="M487" i="1"/>
  <c r="M483" i="1"/>
  <c r="M479" i="1"/>
  <c r="M475" i="1"/>
  <c r="M471" i="1"/>
  <c r="M467" i="1"/>
  <c r="M463" i="1"/>
  <c r="M459" i="1"/>
  <c r="M455" i="1"/>
  <c r="M451" i="1"/>
  <c r="M447" i="1"/>
  <c r="M443" i="1"/>
  <c r="M439" i="1"/>
  <c r="M435" i="1"/>
  <c r="M431" i="1"/>
  <c r="M427" i="1"/>
  <c r="M423" i="1"/>
  <c r="M419" i="1"/>
  <c r="M415" i="1"/>
  <c r="M411" i="1"/>
  <c r="M407" i="1"/>
  <c r="M403" i="1"/>
  <c r="M399" i="1"/>
  <c r="M395" i="1"/>
  <c r="M391" i="1"/>
  <c r="M387" i="1"/>
  <c r="M383" i="1"/>
  <c r="M379" i="1"/>
  <c r="M375" i="1"/>
  <c r="M371" i="1"/>
  <c r="M367" i="1"/>
  <c r="M363" i="1"/>
  <c r="M359" i="1"/>
  <c r="M355" i="1"/>
  <c r="M351" i="1"/>
  <c r="M347" i="1"/>
  <c r="M343" i="1"/>
  <c r="M94" i="1"/>
  <c r="M90" i="1"/>
  <c r="M86" i="1"/>
  <c r="M490" i="1"/>
  <c r="M478" i="1"/>
  <c r="M462" i="1"/>
  <c r="M450" i="1"/>
  <c r="M434" i="1"/>
  <c r="M414" i="1"/>
  <c r="M501" i="1"/>
  <c r="M489" i="1"/>
  <c r="M481" i="1"/>
  <c r="M473" i="1"/>
  <c r="M465" i="1"/>
  <c r="M453" i="1"/>
  <c r="M445" i="1"/>
  <c r="M437" i="1"/>
  <c r="M429" i="1"/>
  <c r="M421" i="1"/>
  <c r="M409" i="1"/>
  <c r="M401" i="1"/>
  <c r="M393" i="1"/>
  <c r="M385" i="1"/>
  <c r="M373" i="1"/>
  <c r="M365" i="1"/>
  <c r="M357" i="1"/>
  <c r="M496" i="1"/>
  <c r="M488" i="1"/>
  <c r="M464" i="1"/>
  <c r="M456" i="1"/>
  <c r="M448" i="1"/>
  <c r="M498" i="1"/>
  <c r="M486" i="1"/>
  <c r="M474" i="1"/>
  <c r="M466" i="1"/>
  <c r="M454" i="1"/>
  <c r="M442" i="1"/>
  <c r="M430" i="1"/>
  <c r="M418" i="1"/>
  <c r="M497" i="1"/>
  <c r="M493" i="1"/>
  <c r="M485" i="1"/>
  <c r="M477" i="1"/>
  <c r="M469" i="1"/>
  <c r="M461" i="1"/>
  <c r="M457" i="1"/>
  <c r="M449" i="1"/>
  <c r="M441" i="1"/>
  <c r="M433" i="1"/>
  <c r="M425" i="1"/>
  <c r="M417" i="1"/>
  <c r="M413" i="1"/>
  <c r="M405" i="1"/>
  <c r="M397" i="1"/>
  <c r="M389" i="1"/>
  <c r="M381" i="1"/>
  <c r="M377" i="1"/>
  <c r="M369" i="1"/>
  <c r="M361" i="1"/>
  <c r="M353" i="1"/>
  <c r="M480" i="1"/>
  <c r="M472" i="1"/>
  <c r="M494" i="1"/>
  <c r="M482" i="1"/>
  <c r="M470" i="1"/>
  <c r="M458" i="1"/>
  <c r="M446" i="1"/>
  <c r="M438" i="1"/>
  <c r="M426" i="1"/>
  <c r="M422" i="1"/>
  <c r="M410" i="1"/>
  <c r="M406" i="1"/>
  <c r="M402" i="1"/>
  <c r="M398" i="1"/>
  <c r="M394" i="1"/>
  <c r="M390" i="1"/>
  <c r="M386" i="1"/>
  <c r="M382" i="1"/>
  <c r="M378" i="1"/>
  <c r="M374" i="1"/>
  <c r="M370" i="1"/>
  <c r="M366" i="1"/>
  <c r="M362" i="1"/>
  <c r="M358" i="1"/>
  <c r="M354" i="1"/>
  <c r="M350" i="1"/>
  <c r="M346" i="1"/>
  <c r="M342" i="1"/>
  <c r="M334" i="1"/>
  <c r="M330" i="1"/>
  <c r="M326" i="1"/>
  <c r="M318" i="1"/>
  <c r="M314" i="1"/>
  <c r="M310" i="1"/>
  <c r="M302" i="1"/>
  <c r="M298" i="1"/>
  <c r="M294" i="1"/>
  <c r="M286" i="1"/>
  <c r="M282" i="1"/>
  <c r="M278" i="1"/>
  <c r="M270" i="1"/>
  <c r="M266" i="1"/>
  <c r="M262" i="1"/>
  <c r="M254" i="1"/>
  <c r="M250" i="1"/>
  <c r="M246" i="1"/>
  <c r="M238" i="1"/>
  <c r="M234" i="1"/>
  <c r="M230" i="1"/>
  <c r="M222" i="1"/>
  <c r="M218" i="1"/>
  <c r="M214" i="1"/>
  <c r="M206" i="1"/>
  <c r="M202" i="1"/>
  <c r="M198" i="1"/>
  <c r="M190" i="1"/>
  <c r="M186" i="1"/>
  <c r="M182" i="1"/>
  <c r="M174" i="1"/>
  <c r="M170" i="1"/>
  <c r="M166" i="1"/>
  <c r="M158" i="1"/>
  <c r="M154" i="1"/>
  <c r="M150" i="1"/>
  <c r="M142" i="1"/>
  <c r="M138" i="1"/>
  <c r="M134" i="1"/>
  <c r="M126" i="1"/>
  <c r="M122" i="1"/>
  <c r="M349" i="1"/>
  <c r="M345" i="1"/>
  <c r="M339" i="1"/>
  <c r="M341" i="1"/>
  <c r="M333" i="1"/>
  <c r="M325" i="1"/>
  <c r="M317" i="1"/>
  <c r="M309" i="1"/>
  <c r="M301" i="1"/>
  <c r="M293" i="1"/>
  <c r="M285" i="1"/>
  <c r="M277" i="1"/>
  <c r="M269" i="1"/>
  <c r="M261" i="1"/>
  <c r="M253" i="1"/>
  <c r="M245" i="1"/>
  <c r="M237" i="1"/>
  <c r="M229" i="1"/>
  <c r="M221" i="1"/>
  <c r="M213" i="1"/>
  <c r="M205" i="1"/>
  <c r="M197" i="1"/>
  <c r="M189" i="1"/>
  <c r="M181" i="1"/>
  <c r="M173" i="1"/>
  <c r="M165" i="1"/>
  <c r="M157" i="1"/>
  <c r="M149" i="1"/>
  <c r="M141" i="1"/>
  <c r="M133" i="1"/>
  <c r="M125" i="1"/>
  <c r="M117" i="1"/>
  <c r="M109" i="1"/>
  <c r="M101" i="1"/>
  <c r="M93" i="1"/>
  <c r="M85" i="1"/>
  <c r="M77" i="1"/>
  <c r="M69" i="1"/>
  <c r="M61" i="1"/>
  <c r="M53" i="1"/>
  <c r="M45" i="1"/>
  <c r="M37" i="1"/>
  <c r="M33" i="1"/>
  <c r="M25" i="1"/>
  <c r="M13" i="1"/>
  <c r="M5" i="1"/>
  <c r="M337" i="1"/>
  <c r="M329" i="1"/>
  <c r="M321" i="1"/>
  <c r="M313" i="1"/>
  <c r="M305" i="1"/>
  <c r="M297" i="1"/>
  <c r="M289" i="1"/>
  <c r="M281" i="1"/>
  <c r="M273" i="1"/>
  <c r="M265" i="1"/>
  <c r="M257" i="1"/>
  <c r="M249" i="1"/>
  <c r="M241" i="1"/>
  <c r="M233" i="1"/>
  <c r="M225" i="1"/>
  <c r="M217" i="1"/>
  <c r="M209" i="1"/>
  <c r="M201" i="1"/>
  <c r="M193" i="1"/>
  <c r="M185" i="1"/>
  <c r="M177" i="1"/>
  <c r="M169" i="1"/>
  <c r="M161" i="1"/>
  <c r="M153" i="1"/>
  <c r="M145" i="1"/>
  <c r="M137" i="1"/>
  <c r="M129" i="1"/>
  <c r="M121" i="1"/>
  <c r="M113" i="1"/>
  <c r="M105" i="1"/>
  <c r="M97" i="1"/>
  <c r="M89" i="1"/>
  <c r="M81" i="1"/>
  <c r="M73" i="1"/>
  <c r="M65" i="1"/>
  <c r="M57" i="1"/>
  <c r="M49" i="1"/>
  <c r="M41" i="1"/>
  <c r="M29" i="1"/>
  <c r="M21" i="1"/>
  <c r="M17" i="1"/>
  <c r="M9" i="1"/>
  <c r="M340" i="1"/>
  <c r="M336" i="1"/>
  <c r="M332" i="1"/>
  <c r="M328" i="1"/>
  <c r="M324" i="1"/>
  <c r="M320" i="1"/>
  <c r="M316" i="1"/>
  <c r="M312" i="1"/>
  <c r="M308" i="1"/>
  <c r="M304" i="1"/>
  <c r="M300" i="1"/>
  <c r="M296" i="1"/>
  <c r="M292" i="1"/>
  <c r="M288" i="1"/>
  <c r="M284" i="1"/>
  <c r="M280" i="1"/>
  <c r="M276" i="1"/>
  <c r="M272" i="1"/>
  <c r="M268" i="1"/>
  <c r="M264" i="1"/>
  <c r="M260" i="1"/>
  <c r="M256" i="1"/>
  <c r="M252" i="1"/>
  <c r="M248" i="1"/>
  <c r="M244" i="1"/>
  <c r="M240" i="1"/>
  <c r="M236" i="1"/>
  <c r="M232" i="1"/>
  <c r="M228" i="1"/>
  <c r="M224" i="1"/>
  <c r="M220" i="1"/>
  <c r="M216" i="1"/>
  <c r="M212" i="1"/>
  <c r="M208" i="1"/>
  <c r="M204" i="1"/>
  <c r="M200" i="1"/>
  <c r="M196" i="1"/>
  <c r="M192" i="1"/>
  <c r="M188" i="1"/>
  <c r="M184" i="1"/>
  <c r="M180" i="1"/>
  <c r="M176" i="1"/>
  <c r="M172" i="1"/>
  <c r="M168" i="1"/>
  <c r="M164" i="1"/>
  <c r="M160" i="1"/>
  <c r="M156" i="1"/>
  <c r="M152" i="1"/>
  <c r="M148" i="1"/>
  <c r="M144" i="1"/>
  <c r="M140" i="1"/>
  <c r="M136" i="1"/>
  <c r="M132" i="1"/>
  <c r="M128" i="1"/>
  <c r="M124" i="1"/>
  <c r="M120" i="1"/>
  <c r="M116" i="1"/>
  <c r="M112" i="1"/>
  <c r="M108" i="1"/>
  <c r="M104" i="1"/>
  <c r="M100" i="1"/>
  <c r="M96" i="1"/>
  <c r="M92" i="1"/>
  <c r="M88" i="1"/>
  <c r="M84" i="1"/>
  <c r="M80" i="1"/>
  <c r="M76" i="1"/>
  <c r="M72" i="1"/>
  <c r="M68" i="1"/>
  <c r="M64" i="1"/>
  <c r="M60" i="1"/>
  <c r="M56" i="1"/>
  <c r="M52" i="1"/>
  <c r="M48" i="1"/>
  <c r="M44" i="1"/>
  <c r="M40" i="1"/>
  <c r="M36" i="1"/>
  <c r="M32" i="1"/>
  <c r="M28" i="1"/>
  <c r="M24" i="1"/>
  <c r="M20" i="1"/>
  <c r="M16" i="1"/>
  <c r="M12" i="1"/>
  <c r="M8" i="1"/>
  <c r="M4" i="1"/>
  <c r="M335" i="1"/>
  <c r="M331" i="1"/>
  <c r="M327" i="1"/>
  <c r="M323" i="1"/>
  <c r="M319" i="1"/>
  <c r="M315" i="1"/>
  <c r="M311" i="1"/>
  <c r="M307" i="1"/>
  <c r="M303" i="1"/>
  <c r="M299" i="1"/>
  <c r="M295" i="1"/>
  <c r="M291" i="1"/>
  <c r="M287" i="1"/>
  <c r="M283" i="1"/>
  <c r="M279" i="1"/>
  <c r="M275" i="1"/>
  <c r="M271" i="1"/>
  <c r="M267" i="1"/>
  <c r="M263" i="1"/>
  <c r="M259" i="1"/>
  <c r="M255" i="1"/>
  <c r="M251" i="1"/>
  <c r="M247" i="1"/>
  <c r="M243" i="1"/>
  <c r="M239" i="1"/>
  <c r="M235" i="1"/>
  <c r="M231" i="1"/>
  <c r="M227" i="1"/>
  <c r="M223" i="1"/>
  <c r="M219" i="1"/>
  <c r="M215" i="1"/>
  <c r="M211" i="1"/>
  <c r="M207" i="1"/>
  <c r="M203" i="1"/>
  <c r="M199" i="1"/>
  <c r="M195" i="1"/>
  <c r="M191" i="1"/>
  <c r="M187" i="1"/>
  <c r="M183" i="1"/>
  <c r="M179" i="1"/>
  <c r="M175" i="1"/>
  <c r="M171" i="1"/>
  <c r="M167" i="1"/>
  <c r="M163" i="1"/>
  <c r="M159" i="1"/>
  <c r="M155" i="1"/>
  <c r="M151" i="1"/>
  <c r="M147" i="1"/>
  <c r="M143" i="1"/>
  <c r="M139" i="1"/>
  <c r="M135" i="1"/>
  <c r="M131" i="1"/>
  <c r="M127" i="1"/>
  <c r="M123" i="1"/>
  <c r="M119" i="1"/>
  <c r="M115" i="1"/>
  <c r="M111" i="1"/>
  <c r="M107" i="1"/>
  <c r="M103" i="1"/>
  <c r="M99" i="1"/>
  <c r="M95" i="1"/>
  <c r="M91" i="1"/>
  <c r="M87" i="1"/>
  <c r="M83" i="1"/>
  <c r="M79" i="1"/>
  <c r="M75" i="1"/>
  <c r="M71" i="1"/>
  <c r="M67" i="1"/>
  <c r="M63" i="1"/>
  <c r="M59" i="1"/>
  <c r="M55" i="1"/>
  <c r="M51" i="1"/>
  <c r="M47" i="1"/>
  <c r="M43" i="1"/>
  <c r="M39" i="1"/>
  <c r="M35" i="1"/>
  <c r="M31" i="1"/>
  <c r="M27" i="1"/>
  <c r="M23" i="1"/>
  <c r="M19" i="1"/>
  <c r="M15" i="1"/>
  <c r="M11" i="1"/>
  <c r="M7" i="1"/>
  <c r="M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customers" description="Connection to the 'customers' query in the workbook." type="5" refreshedVersion="0" background="1">
    <dbPr connection="Provider=Microsoft.Mashup.OleDb.1;Data Source=$Workbook$;Location=customers;Extended Properties=&quot;&quot;" command="SELECT * FROM [customers]"/>
  </connection>
  <connection id="2" xr16:uid="{20C4A176-1036-4CDF-80B4-A512DFD52E0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EA0F8B9-A9AE-4BA6-8582-DFAE643EA5FD}" name="WorksheetConnection_customers!$A$1:$N$501" type="102" refreshedVersion="7" minRefreshableVersion="5">
    <extLst>
      <ext xmlns:x15="http://schemas.microsoft.com/office/spreadsheetml/2010/11/main" uri="{DE250136-89BD-433C-8126-D09CA5730AF9}">
        <x15:connection id="Range" autoDelete="1">
          <x15:rangePr sourceName="_xlcn.WorksheetConnection_customersA1N501"/>
        </x15:connection>
      </ext>
    </extLst>
  </connection>
  <connection id="4" xr16:uid="{C59685AE-D003-4C5E-A856-D73BF3108FEC}" name="WorksheetConnection_My 1 Task.xlsx!Table1" type="102" refreshedVersion="7" minRefreshableVersion="5">
    <extLst>
      <ext xmlns:x15="http://schemas.microsoft.com/office/spreadsheetml/2010/11/main" uri="{DE250136-89BD-433C-8126-D09CA5730AF9}">
        <x15:connection id="Table1" autoDelete="1">
          <x15:rangePr sourceName="_xlcn.WorksheetConnection_My1Task.xlsx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<sst xmlns="http://schemas.openxmlformats.org/spreadsheetml/2006/main" count="3076" uniqueCount="1057">
  <si>
    <t>CustomerID</t>
  </si>
  <si>
    <t>Name</t>
  </si>
  <si>
    <t>Gender</t>
  </si>
  <si>
    <t>Age</t>
  </si>
  <si>
    <t>Region</t>
  </si>
  <si>
    <t>Occupation</t>
  </si>
  <si>
    <t>Income</t>
  </si>
  <si>
    <t>Customer_Segment</t>
  </si>
  <si>
    <t>Join_Date</t>
  </si>
  <si>
    <t>CUST0001</t>
  </si>
  <si>
    <t>Mrs. Deborah Dominguez MD</t>
  </si>
  <si>
    <t>Male</t>
  </si>
  <si>
    <t>North</t>
  </si>
  <si>
    <t>Doctor</t>
  </si>
  <si>
    <t>Retail</t>
  </si>
  <si>
    <t>CUST0002</t>
  </si>
  <si>
    <t>Erin Martinez</t>
  </si>
  <si>
    <t>Female</t>
  </si>
  <si>
    <t>East</t>
  </si>
  <si>
    <t>Trader</t>
  </si>
  <si>
    <t>Corporate</t>
  </si>
  <si>
    <t>CUST0003</t>
  </si>
  <si>
    <t>Amanda Harris</t>
  </si>
  <si>
    <t>Teacher</t>
  </si>
  <si>
    <t>Private</t>
  </si>
  <si>
    <t>CUST0004</t>
  </si>
  <si>
    <t>Candice Palmer</t>
  </si>
  <si>
    <t>Banker</t>
  </si>
  <si>
    <t>CUST0005</t>
  </si>
  <si>
    <t>Sandra Davis</t>
  </si>
  <si>
    <t>West</t>
  </si>
  <si>
    <t>Student</t>
  </si>
  <si>
    <t>CUST0006</t>
  </si>
  <si>
    <t>Vanessa Peterson</t>
  </si>
  <si>
    <t>South</t>
  </si>
  <si>
    <t>CUST0007</t>
  </si>
  <si>
    <t>Tyler Fischer</t>
  </si>
  <si>
    <t>Engineer</t>
  </si>
  <si>
    <t>CUST0008</t>
  </si>
  <si>
    <t>William Horton</t>
  </si>
  <si>
    <t>CUST0009</t>
  </si>
  <si>
    <t>Donna Williams</t>
  </si>
  <si>
    <t>Retired</t>
  </si>
  <si>
    <t>CUST0010</t>
  </si>
  <si>
    <t>Mary Casey</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</si>
  <si>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</si>
  <si>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</si>
  <si>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</si>
  <si>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</si>
  <si>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</si>
  <si>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</si>
  <si>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</si>
  <si>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</si>
  <si>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</si>
  <si>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</si>
  <si>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</si>
  <si>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</si>
  <si>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</si>
  <si>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</si>
  <si>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</si>
  <si>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</si>
  <si>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</si>
  <si>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</si>
  <si>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</si>
  <si>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</si>
  <si>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</si>
  <si>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</si>
  <si>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</si>
  <si>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</si>
  <si>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</si>
  <si>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</si>
  <si>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</si>
  <si>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</si>
  <si>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</si>
  <si>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</si>
  <si>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</si>
  <si>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</si>
  <si>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</si>
  <si>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</si>
  <si>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</si>
  <si>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</si>
  <si>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</si>
  <si>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</si>
  <si>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</si>
  <si>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</si>
  <si>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</si>
  <si>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</si>
  <si>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</si>
  <si>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</si>
  <si>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</si>
  <si>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</si>
  <si>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</si>
  <si>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</si>
  <si>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</si>
  <si>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</si>
  <si>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</si>
  <si>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</si>
  <si>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</si>
  <si>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</si>
  <si>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</si>
  <si>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</si>
  <si>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</si>
  <si>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</si>
  <si>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</si>
  <si>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</si>
  <si>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</si>
  <si>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</si>
  <si>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</si>
  <si>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</si>
  <si>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</si>
  <si>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</si>
  <si>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</si>
  <si>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</si>
  <si>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</si>
  <si>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</si>
  <si>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</si>
  <si>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</si>
  <si>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</si>
  <si>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</si>
  <si>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</si>
  <si>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</si>
  <si>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</si>
  <si>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</si>
  <si>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</si>
  <si>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</si>
  <si>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</si>
  <si>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</si>
  <si>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</si>
  <si>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</si>
  <si>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</si>
  <si>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Mrs. 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</si>
  <si>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</si>
  <si>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</si>
  <si>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</si>
  <si>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</si>
  <si>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</si>
  <si>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</si>
  <si>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</si>
  <si>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</si>
  <si>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</si>
  <si>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</si>
  <si>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</si>
  <si>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</si>
  <si>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</si>
  <si>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</si>
  <si>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</si>
  <si>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</si>
  <si>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</si>
  <si>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</si>
  <si>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</si>
  <si>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</si>
  <si>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</si>
  <si>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</si>
  <si>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</si>
  <si>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</si>
  <si>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</si>
  <si>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</si>
  <si>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</si>
  <si>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</si>
  <si>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</si>
  <si>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</si>
  <si>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</si>
  <si>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</si>
  <si>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</si>
  <si>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</si>
  <si>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</si>
  <si>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</si>
  <si>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</si>
  <si>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</si>
  <si>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</si>
  <si>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</si>
  <si>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</si>
  <si>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</si>
  <si>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</si>
  <si>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</si>
  <si>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</si>
  <si>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</si>
  <si>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</si>
  <si>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</si>
  <si>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</si>
  <si>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</si>
  <si>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</si>
  <si>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</si>
  <si>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</si>
  <si>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</si>
  <si>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</si>
  <si>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</si>
  <si>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</si>
  <si>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</si>
  <si>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</si>
  <si>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</si>
  <si>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</si>
  <si>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</si>
  <si>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</si>
  <si>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</si>
  <si>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</si>
  <si>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</si>
  <si>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</si>
  <si>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</si>
  <si>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</si>
  <si>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</si>
  <si>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</si>
  <si>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</si>
  <si>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</si>
  <si>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</si>
  <si>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</si>
  <si>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</si>
  <si>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</si>
  <si>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</si>
  <si>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</si>
  <si>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</si>
  <si>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</si>
  <si>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</si>
  <si>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</si>
  <si>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</si>
  <si>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</si>
  <si>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</si>
  <si>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</si>
  <si>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</si>
  <si>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</si>
  <si>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</si>
  <si>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</si>
  <si>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</si>
  <si>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</si>
  <si>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</si>
  <si>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</si>
  <si>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</si>
  <si>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</si>
  <si>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</si>
  <si>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</si>
  <si>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</si>
  <si>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</si>
  <si>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</si>
  <si>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</si>
  <si>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</si>
  <si>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</si>
  <si>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</si>
  <si>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</si>
  <si>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</si>
  <si>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</si>
  <si>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</si>
  <si>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</si>
  <si>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</si>
  <si>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</si>
  <si>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</si>
  <si>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</si>
  <si>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</si>
  <si>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</si>
  <si>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</si>
  <si>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</si>
  <si>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</si>
  <si>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</si>
  <si>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</si>
  <si>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</si>
  <si>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</si>
  <si>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</si>
  <si>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</si>
  <si>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</si>
  <si>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</si>
  <si>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</si>
  <si>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</si>
  <si>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</si>
  <si>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</si>
  <si>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</si>
  <si>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</si>
  <si>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</si>
  <si>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</si>
  <si>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</si>
  <si>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</si>
  <si>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</si>
  <si>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</si>
  <si>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</si>
  <si>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</si>
  <si>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</si>
  <si>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</si>
  <si>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</si>
  <si>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</si>
  <si>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</si>
  <si>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</si>
  <si>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</si>
  <si>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</si>
  <si>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</si>
  <si>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</si>
  <si>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</si>
  <si>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</si>
  <si>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</si>
  <si>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</si>
  <si>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</si>
  <si>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</si>
  <si>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</si>
  <si>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</si>
  <si>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</si>
  <si>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</si>
  <si>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</si>
  <si>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</si>
  <si>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</si>
  <si>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</si>
  <si>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</si>
  <si>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</si>
  <si>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</si>
  <si>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</si>
  <si>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</si>
  <si>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</si>
  <si>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</si>
  <si>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</si>
  <si>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</si>
  <si>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</si>
  <si>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</si>
  <si>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</si>
  <si>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</si>
  <si>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</si>
  <si>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</si>
  <si>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</si>
  <si>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</si>
  <si>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</si>
  <si>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</si>
  <si>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</si>
  <si>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</si>
  <si>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</si>
  <si>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</si>
  <si>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</si>
  <si>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</si>
  <si>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</si>
  <si>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</si>
  <si>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</si>
  <si>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</si>
  <si>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</si>
  <si>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</si>
  <si>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</si>
  <si>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</si>
  <si>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</si>
  <si>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</si>
  <si>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</si>
  <si>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</si>
  <si>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</si>
  <si>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</si>
  <si>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</si>
  <si>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</si>
  <si>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</si>
  <si>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</si>
  <si>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</si>
  <si>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</si>
  <si>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</si>
  <si>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</si>
  <si>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</si>
  <si>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</si>
  <si>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</si>
  <si>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</si>
  <si>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</si>
  <si>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</si>
  <si>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</si>
  <si>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</si>
  <si>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</si>
  <si>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</si>
  <si>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</si>
  <si>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</si>
  <si>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</si>
  <si>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</si>
  <si>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</si>
  <si>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</si>
  <si>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</si>
  <si>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</si>
  <si>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</si>
  <si>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</si>
  <si>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</si>
  <si>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</si>
  <si>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</si>
  <si>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</si>
  <si>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</si>
  <si>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</si>
  <si>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</si>
  <si>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</si>
  <si>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</si>
  <si>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</si>
  <si>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</si>
  <si>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</si>
  <si>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</si>
  <si>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</si>
  <si>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</si>
  <si>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</si>
  <si>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</si>
  <si>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</si>
  <si>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</si>
  <si>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</si>
  <si>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</si>
  <si>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</si>
  <si>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</si>
  <si>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</si>
  <si>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</si>
  <si>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</si>
  <si>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</si>
  <si>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</si>
  <si>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</si>
  <si>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</si>
  <si>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</si>
  <si>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</si>
  <si>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</si>
  <si>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</si>
  <si>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</si>
  <si>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</si>
  <si>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</si>
  <si>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</si>
  <si>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</si>
  <si>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</si>
  <si>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</si>
  <si>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</si>
  <si>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</si>
  <si>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</si>
  <si>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</si>
  <si>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</si>
  <si>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</si>
  <si>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</si>
  <si>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</si>
  <si>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</si>
  <si>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</si>
  <si>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</si>
  <si>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</si>
  <si>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</si>
  <si>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</si>
  <si>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</si>
  <si>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</si>
  <si>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</si>
  <si>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</si>
  <si>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</si>
  <si>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</si>
  <si>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</si>
  <si>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</si>
  <si>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</si>
  <si>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</si>
  <si>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</si>
  <si>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</si>
  <si>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</si>
  <si>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</si>
  <si>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</si>
  <si>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</si>
  <si>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</si>
  <si>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</si>
  <si>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</si>
  <si>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</si>
  <si>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</si>
  <si>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</si>
  <si>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</si>
  <si>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</si>
  <si>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</si>
  <si>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</si>
  <si>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</si>
  <si>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</si>
  <si>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</si>
  <si>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</si>
  <si>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</si>
  <si>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</si>
  <si>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</si>
  <si>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</si>
  <si>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</si>
  <si>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</si>
  <si>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</si>
  <si>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</si>
  <si>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</si>
  <si>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</si>
  <si>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</si>
  <si>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</si>
  <si>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</si>
  <si>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</si>
  <si>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</si>
  <si>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</si>
  <si>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</si>
  <si>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</si>
  <si>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</si>
  <si>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Mrs. 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</si>
  <si>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</si>
  <si>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</si>
  <si>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</si>
  <si>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</si>
  <si>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</si>
  <si>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</si>
  <si>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</si>
  <si>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</si>
  <si>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</si>
  <si>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</si>
  <si>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</si>
  <si>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</si>
  <si>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</si>
  <si>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</si>
  <si>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</si>
  <si>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</si>
  <si>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</si>
  <si>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</si>
  <si>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</si>
  <si>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</si>
  <si>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</si>
  <si>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</si>
  <si>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</si>
  <si>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</si>
  <si>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</si>
  <si>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</si>
  <si>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</si>
  <si>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</si>
  <si>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</si>
  <si>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</si>
  <si>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</si>
  <si>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</si>
  <si>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</si>
  <si>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</si>
  <si>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</si>
  <si>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</si>
  <si>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</si>
  <si>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</si>
  <si>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</si>
  <si>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</si>
  <si>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</si>
  <si>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</si>
  <si>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</si>
  <si>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</si>
  <si>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</si>
  <si>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</si>
  <si>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</si>
  <si>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</si>
  <si>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</si>
  <si>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</si>
  <si>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</si>
  <si>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</si>
  <si>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</si>
  <si>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</si>
  <si>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</si>
  <si>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</si>
  <si>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</si>
  <si>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</si>
  <si>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</si>
  <si>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</si>
  <si>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</si>
  <si>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</si>
  <si>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</si>
  <si>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</si>
  <si>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</si>
  <si>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</si>
  <si>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</si>
  <si>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</si>
  <si>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</si>
  <si>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</si>
  <si>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</si>
  <si>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</si>
  <si>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</si>
  <si>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</si>
  <si>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</si>
  <si>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</si>
  <si>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</si>
  <si>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</si>
  <si>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</si>
  <si>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</si>
  <si>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</si>
  <si>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</si>
  <si>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</si>
  <si>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</si>
  <si>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</si>
  <si>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Mr. 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</si>
  <si>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</si>
  <si>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</si>
  <si>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</si>
  <si>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</si>
  <si>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</si>
  <si>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</si>
  <si>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</si>
  <si>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</si>
  <si>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</si>
  <si>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</si>
  <si>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</si>
  <si>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</si>
  <si>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</si>
  <si>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</si>
  <si>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</si>
  <si>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</si>
  <si>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</si>
  <si>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</si>
  <si>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</si>
  <si>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</si>
  <si>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</si>
  <si>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</si>
  <si>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</si>
  <si>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</si>
  <si>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</si>
  <si>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</si>
  <si>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</si>
  <si>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</si>
  <si>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</si>
  <si>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</si>
  <si>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</si>
  <si>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</si>
  <si>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</si>
  <si>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</si>
  <si>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</si>
  <si>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</si>
  <si>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</si>
  <si>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</si>
  <si>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</si>
  <si>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</si>
  <si>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</si>
  <si>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</si>
  <si>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</si>
  <si>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</si>
  <si>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</si>
  <si>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</si>
  <si>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</si>
  <si>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</si>
  <si>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</si>
  <si>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</si>
  <si>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</si>
  <si>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</si>
  <si>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</si>
  <si>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</si>
  <si>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</si>
  <si>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</si>
  <si>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</si>
  <si>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</si>
  <si>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</si>
  <si>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</si>
  <si>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</si>
  <si>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</si>
  <si>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</si>
  <si>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</si>
  <si>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</si>
  <si>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</si>
  <si>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</si>
  <si>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</si>
  <si>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</si>
  <si>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</si>
  <si>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</si>
  <si>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</si>
  <si>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</si>
  <si>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</si>
  <si>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</si>
  <si>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</si>
  <si>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</si>
  <si>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</si>
  <si>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</si>
  <si>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</si>
  <si>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</si>
  <si>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</si>
  <si>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</si>
  <si>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</si>
  <si>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</si>
  <si>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</si>
  <si>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</si>
  <si>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</si>
  <si>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</si>
  <si>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</si>
  <si>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</si>
  <si>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</si>
  <si>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</si>
  <si>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</si>
  <si>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</si>
  <si>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</si>
  <si>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</si>
  <si>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</si>
  <si>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</si>
  <si>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</si>
  <si>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</si>
  <si>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</si>
  <si>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</si>
  <si>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</si>
  <si>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</si>
  <si>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</si>
  <si>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</si>
  <si>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</si>
  <si>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</si>
  <si>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</si>
  <si>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</si>
  <si>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</si>
  <si>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</si>
  <si>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</si>
  <si>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</si>
  <si>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</si>
  <si>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</si>
  <si>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</si>
  <si>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</si>
  <si>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</si>
  <si>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</si>
  <si>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</si>
  <si>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</si>
  <si>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</si>
  <si>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</si>
  <si>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</si>
  <si>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</si>
  <si>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</si>
  <si>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</si>
  <si>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</si>
  <si>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</si>
  <si>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</si>
  <si>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</si>
  <si>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</si>
  <si>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</si>
  <si>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</si>
  <si>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</si>
  <si>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</si>
  <si>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</si>
  <si>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</si>
  <si>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</si>
  <si>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</si>
  <si>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</si>
  <si>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</si>
  <si>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</si>
  <si>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</si>
  <si>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</si>
  <si>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</si>
  <si>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</si>
  <si>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</si>
  <si>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</si>
  <si>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</si>
  <si>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</si>
  <si>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</si>
  <si>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</si>
  <si>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</si>
  <si>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</si>
  <si>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</si>
  <si>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</si>
  <si>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</si>
  <si>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</si>
  <si>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</si>
  <si>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</si>
  <si>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</si>
  <si>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</si>
  <si>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</si>
  <si>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</si>
  <si>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</si>
  <si>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</si>
  <si>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</si>
  <si>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</si>
  <si>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</si>
  <si>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</si>
  <si>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</si>
  <si>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</si>
  <si>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Mrs. 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</si>
  <si>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</si>
  <si>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</si>
  <si>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</si>
  <si>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</si>
  <si>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</si>
  <si>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</si>
  <si>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</si>
  <si>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</si>
  <si>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</si>
  <si>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</si>
  <si>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</si>
  <si>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</si>
  <si>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</si>
  <si>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</si>
  <si>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</si>
  <si>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</si>
  <si>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</si>
  <si>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</si>
  <si>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</si>
  <si>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</si>
  <si>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</si>
  <si>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</si>
  <si>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</si>
  <si>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</si>
  <si>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</si>
  <si>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</si>
  <si>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</si>
  <si>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</si>
  <si>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</si>
  <si>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</si>
  <si>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</si>
  <si>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</si>
  <si>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</si>
  <si>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</si>
  <si>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</si>
  <si>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</si>
  <si>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</si>
  <si>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</si>
  <si>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</si>
  <si>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</si>
  <si>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</si>
  <si>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</si>
  <si>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</si>
  <si>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</si>
  <si>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</si>
  <si>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</si>
  <si>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</si>
  <si>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</si>
  <si>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</si>
  <si>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</si>
  <si>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</si>
  <si>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</si>
  <si>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</si>
  <si>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</si>
  <si>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</si>
  <si>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</si>
  <si>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</si>
  <si>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</si>
  <si>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</si>
  <si>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</si>
  <si>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</si>
  <si>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</si>
  <si>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</si>
  <si>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</si>
  <si>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</si>
  <si>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</si>
  <si>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</si>
  <si>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</si>
  <si>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</si>
  <si>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</si>
  <si>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</si>
  <si>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</si>
  <si>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</si>
  <si>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</si>
  <si>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</si>
  <si>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</si>
  <si>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</si>
  <si>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</si>
  <si>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</si>
  <si>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</si>
  <si>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</si>
  <si>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</si>
  <si>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</si>
  <si>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</si>
  <si>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</si>
  <si>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</si>
  <si>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</si>
  <si>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</si>
  <si>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</si>
  <si>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</si>
  <si>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</si>
  <si>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</si>
  <si>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</si>
  <si>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</si>
  <si>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</si>
  <si>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</si>
  <si>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</si>
  <si>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</si>
  <si>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</si>
  <si>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</si>
  <si>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</si>
  <si>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</si>
  <si>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</si>
  <si>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</si>
  <si>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</si>
  <si>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</si>
  <si>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</si>
  <si>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</si>
  <si>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</si>
  <si>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</si>
  <si>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</si>
  <si>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</si>
  <si>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</si>
  <si>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</si>
  <si>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</si>
  <si>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</si>
  <si>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</si>
  <si>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</si>
  <si>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</si>
  <si>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</si>
  <si>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</si>
  <si>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</si>
  <si>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</si>
  <si>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</si>
  <si>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</si>
  <si>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</si>
  <si>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</si>
  <si>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</si>
  <si>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</si>
  <si>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</si>
  <si>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</si>
  <si>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</si>
  <si>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</si>
  <si>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</si>
  <si>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</si>
  <si>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</si>
  <si>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</si>
  <si>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</si>
  <si>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</si>
  <si>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</si>
  <si>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</si>
  <si>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</si>
  <si>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</si>
  <si>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</si>
  <si>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</si>
  <si>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</si>
  <si>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</si>
  <si>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</si>
  <si>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</si>
  <si>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</si>
  <si>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</si>
  <si>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</si>
  <si>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</si>
  <si>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</si>
  <si>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</si>
  <si>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</si>
  <si>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</si>
  <si>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</si>
  <si>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</si>
  <si>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</si>
  <si>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</si>
  <si>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</si>
  <si>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</si>
  <si>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</si>
  <si>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</si>
  <si>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</si>
  <si>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</si>
  <si>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</si>
  <si>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</si>
  <si>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</si>
  <si>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</si>
  <si>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</si>
  <si>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</si>
  <si>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</si>
  <si>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</si>
  <si>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</si>
  <si>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</si>
  <si>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</si>
  <si>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</si>
  <si>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</si>
  <si>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</si>
  <si>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</si>
  <si>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</si>
  <si>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</si>
  <si>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</si>
  <si>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</si>
  <si>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</si>
  <si>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</si>
  <si>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</si>
  <si>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</si>
  <si>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</si>
  <si>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</si>
  <si>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</si>
  <si>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</si>
  <si>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</si>
  <si>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</si>
  <si>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</si>
  <si>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</si>
  <si>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</si>
  <si>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</si>
  <si>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</si>
  <si>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</si>
  <si>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</si>
  <si>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</si>
  <si>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</si>
  <si>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</si>
  <si>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</si>
  <si>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</si>
  <si>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</si>
  <si>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</si>
  <si>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</si>
  <si>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</si>
  <si>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</si>
  <si>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</si>
  <si>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</si>
  <si>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</si>
  <si>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</si>
  <si>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</si>
  <si>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</si>
  <si>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</si>
  <si>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</si>
  <si>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</si>
  <si>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</si>
  <si>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</si>
  <si>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</si>
  <si>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</si>
  <si>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</si>
  <si>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</si>
  <si>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</si>
  <si>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</si>
  <si>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</si>
  <si>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</si>
  <si>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</si>
  <si>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</si>
  <si>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</si>
  <si>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</si>
  <si>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</si>
  <si>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</si>
  <si>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</si>
  <si>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</si>
  <si>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</si>
  <si>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</si>
  <si>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</si>
  <si>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</si>
  <si>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</si>
  <si>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</si>
  <si>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</si>
  <si>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</si>
  <si>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</si>
  <si>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</si>
  <si>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</si>
  <si>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</si>
  <si>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</si>
  <si>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</si>
  <si>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</si>
  <si>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</si>
  <si>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</si>
  <si>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</si>
  <si>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</si>
  <si>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</si>
  <si>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</si>
  <si>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</si>
  <si>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</si>
  <si>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</si>
  <si>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</si>
  <si>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</si>
  <si>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</si>
  <si>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</si>
  <si>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</si>
  <si>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</si>
  <si>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</si>
  <si>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</si>
  <si>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</si>
  <si>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</si>
  <si>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</si>
  <si>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</si>
  <si>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</si>
  <si>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</si>
  <si>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</si>
  <si>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</si>
  <si>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</si>
  <si>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</si>
  <si>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</si>
  <si>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</si>
  <si>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</si>
  <si>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</si>
  <si>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</si>
  <si>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</si>
  <si>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</si>
  <si>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</si>
  <si>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</si>
  <si>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</si>
  <si>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</si>
  <si>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Age_group</t>
  </si>
  <si>
    <t>Income Bracket</t>
  </si>
  <si>
    <t>Tenure Year</t>
  </si>
  <si>
    <t>Tenure Band</t>
  </si>
  <si>
    <t>Loyalty Rank</t>
  </si>
  <si>
    <t>Row Labels</t>
  </si>
  <si>
    <t>Grand Total</t>
  </si>
  <si>
    <t>Count of CustomerID</t>
  </si>
  <si>
    <t>Average Income</t>
  </si>
  <si>
    <t>Total Income</t>
  </si>
  <si>
    <t>Column Labels</t>
  </si>
  <si>
    <t>Boomers</t>
  </si>
  <si>
    <t>Gen X</t>
  </si>
  <si>
    <t>Gen Z</t>
  </si>
  <si>
    <t>Millennials</t>
  </si>
  <si>
    <t>High</t>
  </si>
  <si>
    <t>Low</t>
  </si>
  <si>
    <t>Medium</t>
  </si>
  <si>
    <t>Premium</t>
  </si>
  <si>
    <t>Age Group Vs Income Bracket</t>
  </si>
  <si>
    <t>Regional Distribution</t>
  </si>
  <si>
    <t>0-1yr</t>
  </si>
  <si>
    <t>1-3yrs</t>
  </si>
  <si>
    <t>3-5yrs</t>
  </si>
  <si>
    <t>5yrs +</t>
  </si>
  <si>
    <t>segment by Age &amp; Income Bracket</t>
  </si>
  <si>
    <t>Max of Tenure Year</t>
  </si>
  <si>
    <t>Customer Segment</t>
  </si>
  <si>
    <t>Avg. Income</t>
  </si>
  <si>
    <t>Avg. income by Customer Segment</t>
  </si>
  <si>
    <t>No. Of Customers By Region &amp; Gender</t>
  </si>
  <si>
    <t>Average of Tenure Year</t>
  </si>
  <si>
    <t>Total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</si>
</sst>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0">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64" formatCode="&quot;$&quot;#,##0"/>
    </dxf>
    <dxf>
      <numFmt numFmtId="1" formatCode="0"/>
    </dxf>
    <dxf>
      <numFmt numFmtId="1" formatCode="0"/>
    </dxf>
    <dxf>
      <numFmt numFmtId="19" formatCode="m/d/yyyy"/>
    </dxf>
    <dxf>
      <numFmt numFmtId="164" formatCode="&quot;$&quot;#,##0"/>
    </dxf>
    <dxf>
      <numFmt numFmtId="164" formatCode="&quot;$&quot;#,##0"/>
    </dxf>
    <dxf>
      <numFmt numFmtId="164" formatCode="&quot;$&quot;#,##0"/>
    </dxf>
    <dxf>
      <numFmt numFmtId="164" formatCode="&quot;$&quot;#,##0"/>
    </dxf>
    <dxf>
      <numFmt numFmtId="164" formatCode="&quot;$&quot;#,##0"/>
    </dxf>
    <dxf>
      <font>
        <color theme="0" tint="-0.14996795556505021"/>
      </font>
      <border>
        <bottom style="thin">
          <color theme="9"/>
        </bottom>
        <vertical/>
        <horizontal/>
      </border>
    </dxf>
    <dxf>
      <font>
        <b/>
        <i val="0"/>
        <sz val="11"/>
        <color theme="0" tint="-4.9989318521683403E-2"/>
      </font>
      <fill>
        <patternFill>
          <bgColor rgb="FF0BA50F"/>
        </patternFill>
      </fill>
      <border diagonalUp="0" diagonalDown="0">
        <left/>
        <right/>
        <top/>
        <bottom/>
        <vertical/>
        <horizontal/>
      </border>
    </dxf>
    <dxf>
      <font>
        <color theme="0" tint="-0.14996795556505021"/>
      </font>
      <border>
        <bottom style="thin">
          <color theme="9"/>
        </bottom>
        <vertical/>
        <horizontal/>
      </border>
    </dxf>
    <dxf>
      <font>
        <b/>
        <i val="0"/>
        <sz val="11"/>
        <color theme="0" tint="-4.9989318521683403E-2"/>
      </font>
      <fill>
        <patternFill>
          <bgColor theme="2" tint="-0.89996032593768116"/>
        </patternFill>
      </fill>
      <border diagonalUp="0" diagonalDown="0">
        <left/>
        <right/>
        <top/>
        <bottom/>
        <vertical/>
        <horizontal/>
      </border>
    </dxf>
  </dxfs>
  <tableStyles count="2" defaultTableStyle="TableStyleMedium2" defaultPivotStyle="PivotStyleLight16">
    <tableStyle name="SlicerStyleDark6 2" pivot="0" table="0" count="10" xr9:uid="{2A2D3579-51A6-41EB-9018-5A14B69788CD}">
      <tableStyleElement type="wholeTable" dxfId="79"/>
      <tableStyleElement type="headerRow" dxfId="78"/>
    </tableStyle>
    <tableStyle name="SlicerStyleDark6 2 22" pivot="0" table="0" count="10" xr9:uid="{57CD7DC0-983E-44DE-9867-58675C9FA63A}">
      <tableStyleElement type="wholeTable" dxfId="77"/>
      <tableStyleElement type="headerRow" dxfId="76"/>
    </tableStyle>
  </tableStyles>
  <colors>
    <mruColors>
      <color rgb="FF0BA50F"/>
      <color rgb="FF259328"/>
      <color rgb="FF17A12E"/>
      <color rgb="FF548235"/>
      <color rgb="FF17873C"/>
      <color rgb="FF24D65F"/>
      <color rgb="FF0A3E1B"/>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rgb="FF259328"/>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tint="-0.14996795556505021"/>
          </font>
          <fill>
            <patternFill>
              <bgColor rgb="FF17A12E"/>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rgb="FF259328"/>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tint="-0.14996795556505021"/>
          </font>
          <fill>
            <patternFill>
              <bgColor rgb="FF17A12E"/>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2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Challenge Wk1 – Customer Profiling &amp; Segmentation.xlsx]pivot tables!PivotTable4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787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4D6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157573700634484E-2"/>
          <c:y val="6.1919092976149843E-2"/>
          <c:w val="0.80150235455496788"/>
          <c:h val="0.80749766196696171"/>
        </c:manualLayout>
      </c:layout>
      <c:barChart>
        <c:barDir val="col"/>
        <c:grouping val="clustered"/>
        <c:varyColors val="0"/>
        <c:ser>
          <c:idx val="0"/>
          <c:order val="0"/>
          <c:tx>
            <c:strRef>
              <c:f>'pivot tables'!$B$3:$B$4</c:f>
              <c:strCache>
                <c:ptCount val="1"/>
                <c:pt idx="0">
                  <c:v>Female</c:v>
                </c:pt>
              </c:strCache>
            </c:strRef>
          </c:tx>
          <c:spPr>
            <a:solidFill>
              <a:srgbClr val="17873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tables'!$A$5:$A$9</c:f>
              <c:strCache>
                <c:ptCount val="4"/>
                <c:pt idx="0">
                  <c:v>East</c:v>
                </c:pt>
                <c:pt idx="1">
                  <c:v>North</c:v>
                </c:pt>
                <c:pt idx="2">
                  <c:v>South</c:v>
                </c:pt>
                <c:pt idx="3">
                  <c:v>West</c:v>
                </c:pt>
              </c:strCache>
            </c:strRef>
          </c:cat>
          <c:val>
            <c:numRef>
              <c:f>'pivot tables'!$B$5:$B$9</c:f>
              <c:numCache>
                <c:formatCode>General</c:formatCode>
                <c:ptCount val="4"/>
                <c:pt idx="0">
                  <c:v>71</c:v>
                </c:pt>
                <c:pt idx="1">
                  <c:v>57</c:v>
                </c:pt>
                <c:pt idx="2">
                  <c:v>70</c:v>
                </c:pt>
                <c:pt idx="3">
                  <c:v>58</c:v>
                </c:pt>
              </c:numCache>
            </c:numRef>
          </c:val>
          <c:extLst>
            <c:ext xmlns:c16="http://schemas.microsoft.com/office/drawing/2014/chart" uri="{C3380CC4-5D6E-409C-BE32-E72D297353CC}">
              <c16:uniqueId val="{00000000-5CAD-426C-B8E1-DD39624490BF}"/>
            </c:ext>
          </c:extLst>
        </c:ser>
        <c:ser>
          <c:idx val="1"/>
          <c:order val="1"/>
          <c:tx>
            <c:strRef>
              <c:f>'pivot tables'!$C$3:$C$4</c:f>
              <c:strCache>
                <c:ptCount val="1"/>
                <c:pt idx="0">
                  <c:v>Male</c:v>
                </c:pt>
              </c:strCache>
            </c:strRef>
          </c:tx>
          <c:spPr>
            <a:solidFill>
              <a:srgbClr val="24D6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tables'!$A$5:$A$9</c:f>
              <c:strCache>
                <c:ptCount val="4"/>
                <c:pt idx="0">
                  <c:v>East</c:v>
                </c:pt>
                <c:pt idx="1">
                  <c:v>North</c:v>
                </c:pt>
                <c:pt idx="2">
                  <c:v>South</c:v>
                </c:pt>
                <c:pt idx="3">
                  <c:v>West</c:v>
                </c:pt>
              </c:strCache>
            </c:strRef>
          </c:cat>
          <c:val>
            <c:numRef>
              <c:f>'pivot tables'!$C$5:$C$9</c:f>
              <c:numCache>
                <c:formatCode>General</c:formatCode>
                <c:ptCount val="4"/>
                <c:pt idx="0">
                  <c:v>62</c:v>
                </c:pt>
                <c:pt idx="1">
                  <c:v>63</c:v>
                </c:pt>
                <c:pt idx="2">
                  <c:v>67</c:v>
                </c:pt>
                <c:pt idx="3">
                  <c:v>52</c:v>
                </c:pt>
              </c:numCache>
            </c:numRef>
          </c:val>
          <c:extLst>
            <c:ext xmlns:c16="http://schemas.microsoft.com/office/drawing/2014/chart" uri="{C3380CC4-5D6E-409C-BE32-E72D297353CC}">
              <c16:uniqueId val="{00000001-9A76-49A5-8964-24E538D4339A}"/>
            </c:ext>
          </c:extLst>
        </c:ser>
        <c:dLbls>
          <c:showLegendKey val="0"/>
          <c:showVal val="0"/>
          <c:showCatName val="0"/>
          <c:showSerName val="0"/>
          <c:showPercent val="0"/>
          <c:showBubbleSize val="0"/>
        </c:dLbls>
        <c:gapWidth val="219"/>
        <c:overlap val="-27"/>
        <c:axId val="1540678240"/>
        <c:axId val="1540680736"/>
      </c:barChart>
      <c:catAx>
        <c:axId val="15406782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crossAx val="1540680736"/>
        <c:crosses val="autoZero"/>
        <c:auto val="1"/>
        <c:lblAlgn val="ctr"/>
        <c:lblOffset val="100"/>
        <c:noMultiLvlLbl val="0"/>
      </c:catAx>
      <c:valAx>
        <c:axId val="1540680736"/>
        <c:scaling>
          <c:orientation val="minMax"/>
        </c:scaling>
        <c:delete val="1"/>
        <c:axPos val="l"/>
        <c:numFmt formatCode="General" sourceLinked="1"/>
        <c:majorTickMark val="none"/>
        <c:minorTickMark val="none"/>
        <c:tickLblPos val="nextTo"/>
        <c:crossAx val="154067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Challenge Wk1 – Customer Profiling &amp; Segmentation.xlsx]pivot tables!PivotTable5</c:name>
    <c:fmtId val="5"/>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rgbClr val="1787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A3E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tables'!$G$3:$G$4</c:f>
              <c:strCache>
                <c:ptCount val="1"/>
                <c:pt idx="0">
                  <c:v>High</c:v>
                </c:pt>
              </c:strCache>
            </c:strRef>
          </c:tx>
          <c:spPr>
            <a:solidFill>
              <a:srgbClr val="17873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tables'!$F$5:$F$9</c:f>
              <c:strCache>
                <c:ptCount val="4"/>
                <c:pt idx="0">
                  <c:v>Boomers</c:v>
                </c:pt>
                <c:pt idx="1">
                  <c:v>Gen X</c:v>
                </c:pt>
                <c:pt idx="2">
                  <c:v>Gen Z</c:v>
                </c:pt>
                <c:pt idx="3">
                  <c:v>Millennials</c:v>
                </c:pt>
              </c:strCache>
            </c:strRef>
          </c:cat>
          <c:val>
            <c:numRef>
              <c:f>'pivot tables'!$G$5:$G$9</c:f>
              <c:numCache>
                <c:formatCode>General</c:formatCode>
                <c:ptCount val="4"/>
                <c:pt idx="0">
                  <c:v>40</c:v>
                </c:pt>
                <c:pt idx="1">
                  <c:v>33</c:v>
                </c:pt>
                <c:pt idx="2">
                  <c:v>22</c:v>
                </c:pt>
                <c:pt idx="3">
                  <c:v>41</c:v>
                </c:pt>
              </c:numCache>
            </c:numRef>
          </c:val>
          <c:extLst>
            <c:ext xmlns:c16="http://schemas.microsoft.com/office/drawing/2014/chart" uri="{C3380CC4-5D6E-409C-BE32-E72D297353CC}">
              <c16:uniqueId val="{00000000-A79C-42F7-942D-6FB7DF63110C}"/>
            </c:ext>
          </c:extLst>
        </c:ser>
        <c:ser>
          <c:idx val="1"/>
          <c:order val="1"/>
          <c:tx>
            <c:strRef>
              <c:f>'pivot tables'!$H$3:$H$4</c:f>
              <c:strCache>
                <c:ptCount val="1"/>
                <c:pt idx="0">
                  <c:v>Low</c:v>
                </c:pt>
              </c:strCache>
            </c:strRef>
          </c:tx>
          <c:spPr>
            <a:solidFill>
              <a:srgbClr val="0A3E1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tables'!$F$5:$F$9</c:f>
              <c:strCache>
                <c:ptCount val="4"/>
                <c:pt idx="0">
                  <c:v>Boomers</c:v>
                </c:pt>
                <c:pt idx="1">
                  <c:v>Gen X</c:v>
                </c:pt>
                <c:pt idx="2">
                  <c:v>Gen Z</c:v>
                </c:pt>
                <c:pt idx="3">
                  <c:v>Millennials</c:v>
                </c:pt>
              </c:strCache>
            </c:strRef>
          </c:cat>
          <c:val>
            <c:numRef>
              <c:f>'pivot tables'!$H$5:$H$9</c:f>
              <c:numCache>
                <c:formatCode>General</c:formatCode>
                <c:ptCount val="4"/>
                <c:pt idx="0">
                  <c:v>13</c:v>
                </c:pt>
                <c:pt idx="1">
                  <c:v>18</c:v>
                </c:pt>
                <c:pt idx="2">
                  <c:v>12</c:v>
                </c:pt>
                <c:pt idx="3">
                  <c:v>28</c:v>
                </c:pt>
              </c:numCache>
            </c:numRef>
          </c:val>
          <c:extLst>
            <c:ext xmlns:c16="http://schemas.microsoft.com/office/drawing/2014/chart" uri="{C3380CC4-5D6E-409C-BE32-E72D297353CC}">
              <c16:uniqueId val="{00000001-A79C-42F7-942D-6FB7DF63110C}"/>
            </c:ext>
          </c:extLst>
        </c:ser>
        <c:ser>
          <c:idx val="2"/>
          <c:order val="2"/>
          <c:tx>
            <c:strRef>
              <c:f>'pivot tables'!$I$3:$I$4</c:f>
              <c:strCache>
                <c:ptCount val="1"/>
                <c:pt idx="0">
                  <c:v>Medium</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tables'!$F$5:$F$9</c:f>
              <c:strCache>
                <c:ptCount val="4"/>
                <c:pt idx="0">
                  <c:v>Boomers</c:v>
                </c:pt>
                <c:pt idx="1">
                  <c:v>Gen X</c:v>
                </c:pt>
                <c:pt idx="2">
                  <c:v>Gen Z</c:v>
                </c:pt>
                <c:pt idx="3">
                  <c:v>Millennials</c:v>
                </c:pt>
              </c:strCache>
            </c:strRef>
          </c:cat>
          <c:val>
            <c:numRef>
              <c:f>'pivot tables'!$I$5:$I$9</c:f>
              <c:numCache>
                <c:formatCode>General</c:formatCode>
                <c:ptCount val="4"/>
                <c:pt idx="0">
                  <c:v>36</c:v>
                </c:pt>
                <c:pt idx="1">
                  <c:v>42</c:v>
                </c:pt>
                <c:pt idx="2">
                  <c:v>29</c:v>
                </c:pt>
                <c:pt idx="3">
                  <c:v>33</c:v>
                </c:pt>
              </c:numCache>
            </c:numRef>
          </c:val>
          <c:extLst>
            <c:ext xmlns:c16="http://schemas.microsoft.com/office/drawing/2014/chart" uri="{C3380CC4-5D6E-409C-BE32-E72D297353CC}">
              <c16:uniqueId val="{00000002-A79C-42F7-942D-6FB7DF63110C}"/>
            </c:ext>
          </c:extLst>
        </c:ser>
        <c:ser>
          <c:idx val="3"/>
          <c:order val="3"/>
          <c:tx>
            <c:strRef>
              <c:f>'pivot tables'!$J$3:$J$4</c:f>
              <c:strCache>
                <c:ptCount val="1"/>
                <c:pt idx="0">
                  <c:v>Premium</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tables'!$F$5:$F$9</c:f>
              <c:strCache>
                <c:ptCount val="4"/>
                <c:pt idx="0">
                  <c:v>Boomers</c:v>
                </c:pt>
                <c:pt idx="1">
                  <c:v>Gen X</c:v>
                </c:pt>
                <c:pt idx="2">
                  <c:v>Gen Z</c:v>
                </c:pt>
                <c:pt idx="3">
                  <c:v>Millennials</c:v>
                </c:pt>
              </c:strCache>
            </c:strRef>
          </c:cat>
          <c:val>
            <c:numRef>
              <c:f>'pivot tables'!$J$5:$J$9</c:f>
              <c:numCache>
                <c:formatCode>General</c:formatCode>
                <c:ptCount val="4"/>
                <c:pt idx="0">
                  <c:v>37</c:v>
                </c:pt>
                <c:pt idx="1">
                  <c:v>48</c:v>
                </c:pt>
                <c:pt idx="2">
                  <c:v>23</c:v>
                </c:pt>
                <c:pt idx="3">
                  <c:v>45</c:v>
                </c:pt>
              </c:numCache>
            </c:numRef>
          </c:val>
          <c:extLst>
            <c:ext xmlns:c16="http://schemas.microsoft.com/office/drawing/2014/chart" uri="{C3380CC4-5D6E-409C-BE32-E72D297353CC}">
              <c16:uniqueId val="{00000003-A79C-42F7-942D-6FB7DF63110C}"/>
            </c:ext>
          </c:extLst>
        </c:ser>
        <c:dLbls>
          <c:dLblPos val="outEnd"/>
          <c:showLegendKey val="0"/>
          <c:showVal val="1"/>
          <c:showCatName val="0"/>
          <c:showSerName val="0"/>
          <c:showPercent val="0"/>
          <c:showBubbleSize val="0"/>
        </c:dLbls>
        <c:gapWidth val="219"/>
        <c:overlap val="-27"/>
        <c:axId val="1319348432"/>
        <c:axId val="1319342608"/>
      </c:barChart>
      <c:catAx>
        <c:axId val="13193484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US"/>
          </a:p>
        </c:txPr>
        <c:crossAx val="1319342608"/>
        <c:crosses val="autoZero"/>
        <c:auto val="1"/>
        <c:lblAlgn val="ctr"/>
        <c:lblOffset val="100"/>
        <c:noMultiLvlLbl val="0"/>
      </c:catAx>
      <c:valAx>
        <c:axId val="1319342608"/>
        <c:scaling>
          <c:orientation val="minMax"/>
        </c:scaling>
        <c:delete val="1"/>
        <c:axPos val="l"/>
        <c:numFmt formatCode="General" sourceLinked="1"/>
        <c:majorTickMark val="none"/>
        <c:minorTickMark val="none"/>
        <c:tickLblPos val="nextTo"/>
        <c:crossAx val="1319348432"/>
        <c:crosses val="autoZero"/>
        <c:crossBetween val="between"/>
      </c:valAx>
      <c:spPr>
        <a:noFill/>
        <a:ln>
          <a:noFill/>
        </a:ln>
        <a:effectLst/>
      </c:spPr>
    </c:plotArea>
    <c:legend>
      <c:legendPos val="r"/>
      <c:layout>
        <c:manualLayout>
          <c:xMode val="edge"/>
          <c:yMode val="edge"/>
          <c:x val="0.80196537900617881"/>
          <c:y val="0.28097328061916155"/>
          <c:w val="0.17656030492401559"/>
          <c:h val="0.4380529277673790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Challenge Wk1 – Customer Profiling &amp; Segmentation.xlsx]pivot tables!PivotTable8</c:name>
    <c:fmtId val="1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4D65F"/>
          </a:solidFill>
          <a:ln>
            <a:noFill/>
          </a:ln>
          <a:effectLst/>
        </c:spPr>
        <c:marker>
          <c:symbol val="none"/>
        </c:marker>
        <c:dLbl>
          <c:idx val="0"/>
          <c:spPr>
            <a:noFill/>
            <a:ln>
              <a:noFill/>
            </a:ln>
            <a:effectLst/>
          </c:spPr>
          <c:txPr>
            <a:bodyPr wrap="square" lIns="38100" tIns="19050" rIns="38100" bIns="19050" anchor="ctr">
              <a:spAutoFit/>
            </a:bodyPr>
            <a:lstStyle/>
            <a:p>
              <a:pPr>
                <a:defRPr sz="1050" b="1">
                  <a:solidFill>
                    <a:schemeClr val="bg1">
                      <a:lumMod val="85000"/>
                    </a:schemeClr>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tables'!$F$12</c:f>
              <c:strCache>
                <c:ptCount val="1"/>
                <c:pt idx="0">
                  <c:v>Total</c:v>
                </c:pt>
              </c:strCache>
            </c:strRef>
          </c:tx>
          <c:spPr>
            <a:solidFill>
              <a:srgbClr val="24D65F"/>
            </a:solidFill>
            <a:ln>
              <a:noFill/>
            </a:ln>
            <a:effectLst/>
          </c:spPr>
          <c:invertIfNegative val="0"/>
          <c:dLbls>
            <c:spPr>
              <a:noFill/>
              <a:ln>
                <a:noFill/>
              </a:ln>
              <a:effectLst/>
            </c:spPr>
            <c:txPr>
              <a:bodyPr wrap="square" lIns="38100" tIns="19050" rIns="38100" bIns="19050" anchor="ctr">
                <a:spAutoFit/>
              </a:bodyPr>
              <a:lstStyle/>
              <a:p>
                <a:pPr>
                  <a:defRPr sz="1050" b="1">
                    <a:solidFill>
                      <a:schemeClr val="bg1">
                        <a:lumMod val="85000"/>
                      </a:schemeClr>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tables'!$E$13:$E$17</c:f>
              <c:strCache>
                <c:ptCount val="4"/>
                <c:pt idx="0">
                  <c:v>0-1yr</c:v>
                </c:pt>
                <c:pt idx="1">
                  <c:v>1-3yrs</c:v>
                </c:pt>
                <c:pt idx="2">
                  <c:v>3-5yrs</c:v>
                </c:pt>
                <c:pt idx="3">
                  <c:v>5yrs +</c:v>
                </c:pt>
              </c:strCache>
            </c:strRef>
          </c:cat>
          <c:val>
            <c:numRef>
              <c:f>'pivot tables'!$F$13:$F$17</c:f>
              <c:numCache>
                <c:formatCode>General</c:formatCode>
                <c:ptCount val="4"/>
                <c:pt idx="0">
                  <c:v>41</c:v>
                </c:pt>
                <c:pt idx="1">
                  <c:v>103</c:v>
                </c:pt>
                <c:pt idx="2">
                  <c:v>100</c:v>
                </c:pt>
                <c:pt idx="3">
                  <c:v>256</c:v>
                </c:pt>
              </c:numCache>
            </c:numRef>
          </c:val>
          <c:extLst>
            <c:ext xmlns:c16="http://schemas.microsoft.com/office/drawing/2014/chart" uri="{C3380CC4-5D6E-409C-BE32-E72D297353CC}">
              <c16:uniqueId val="{00000000-8304-417B-8F67-D9790C4F3A43}"/>
            </c:ext>
          </c:extLst>
        </c:ser>
        <c:dLbls>
          <c:dLblPos val="outEnd"/>
          <c:showLegendKey val="0"/>
          <c:showVal val="1"/>
          <c:showCatName val="0"/>
          <c:showSerName val="0"/>
          <c:showPercent val="0"/>
          <c:showBubbleSize val="0"/>
        </c:dLbls>
        <c:gapWidth val="219"/>
        <c:axId val="2079141088"/>
        <c:axId val="2079149824"/>
      </c:barChart>
      <c:catAx>
        <c:axId val="20791410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bg1">
                    <a:lumMod val="85000"/>
                  </a:schemeClr>
                </a:solidFill>
                <a:latin typeface="+mn-lt"/>
                <a:ea typeface="+mn-ea"/>
                <a:cs typeface="+mn-cs"/>
              </a:defRPr>
            </a:pPr>
            <a:endParaRPr lang="en-US"/>
          </a:p>
        </c:txPr>
        <c:crossAx val="2079149824"/>
        <c:crosses val="autoZero"/>
        <c:auto val="1"/>
        <c:lblAlgn val="ctr"/>
        <c:lblOffset val="100"/>
        <c:noMultiLvlLbl val="0"/>
      </c:catAx>
      <c:valAx>
        <c:axId val="2079149824"/>
        <c:scaling>
          <c:orientation val="minMax"/>
        </c:scaling>
        <c:delete val="1"/>
        <c:axPos val="b"/>
        <c:numFmt formatCode="General" sourceLinked="1"/>
        <c:majorTickMark val="none"/>
        <c:minorTickMark val="none"/>
        <c:tickLblPos val="nextTo"/>
        <c:crossAx val="2079141088"/>
        <c:crosses val="autoZero"/>
        <c:crossBetween val="between"/>
      </c:valAx>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barChart>
        <c:barDir val="col"/>
        <c:grouping val="stacked"/>
        <c:varyColors val="0"/>
        <c:ser>
          <c:idx val="0"/>
          <c:order val="0"/>
          <c:tx>
            <c:strRef>
              <c:f>'pivot tables'!$S$3</c:f>
              <c:strCache>
                <c:ptCount val="1"/>
                <c:pt idx="0">
                  <c:v>Customer Segment</c:v>
                </c:pt>
              </c:strCache>
            </c:strRef>
          </c:tx>
          <c:spPr>
            <a:solidFill>
              <a:srgbClr val="0A3E1B"/>
            </a:solidFill>
            <a:ln>
              <a:noFill/>
            </a:ln>
            <a:effectLst/>
          </c:spPr>
          <c:invertIfNegative val="0"/>
          <c:cat>
            <c:strRef>
              <c:f>'pivot tables'!$R$4:$R$6</c:f>
              <c:strCache>
                <c:ptCount val="3"/>
                <c:pt idx="0">
                  <c:v>Private</c:v>
                </c:pt>
                <c:pt idx="1">
                  <c:v>Retail</c:v>
                </c:pt>
                <c:pt idx="2">
                  <c:v>Corporate</c:v>
                </c:pt>
              </c:strCache>
            </c:strRef>
          </c:cat>
          <c:val>
            <c:numRef>
              <c:f>'pivot tables'!$S$4:$S$6</c:f>
              <c:numCache>
                <c:formatCode>General</c:formatCode>
                <c:ptCount val="3"/>
                <c:pt idx="0">
                  <c:v>45</c:v>
                </c:pt>
                <c:pt idx="1">
                  <c:v>286</c:v>
                </c:pt>
                <c:pt idx="2">
                  <c:v>169</c:v>
                </c:pt>
              </c:numCache>
            </c:numRef>
          </c:val>
          <c:extLst>
            <c:ext xmlns:c16="http://schemas.microsoft.com/office/drawing/2014/chart" uri="{C3380CC4-5D6E-409C-BE32-E72D297353CC}">
              <c16:uniqueId val="{00000000-EDAF-4FD9-8951-FFD855E206AB}"/>
            </c:ext>
          </c:extLst>
        </c:ser>
        <c:dLbls>
          <c:showLegendKey val="0"/>
          <c:showVal val="0"/>
          <c:showCatName val="0"/>
          <c:showSerName val="0"/>
          <c:showPercent val="0"/>
          <c:showBubbleSize val="0"/>
        </c:dLbls>
        <c:gapWidth val="219"/>
        <c:overlap val="100"/>
        <c:axId val="1540672832"/>
        <c:axId val="1540687808"/>
      </c:barChart>
      <c:lineChart>
        <c:grouping val="standard"/>
        <c:varyColors val="0"/>
        <c:ser>
          <c:idx val="1"/>
          <c:order val="1"/>
          <c:tx>
            <c:strRef>
              <c:f>'pivot tables'!$T$3</c:f>
              <c:strCache>
                <c:ptCount val="1"/>
                <c:pt idx="0">
                  <c:v>Avg. Income</c:v>
                </c:pt>
              </c:strCache>
            </c:strRef>
          </c:tx>
          <c:spPr>
            <a:ln w="28575" cap="rnd">
              <a:solidFill>
                <a:schemeClr val="accent6">
                  <a:tint val="77000"/>
                </a:schemeClr>
              </a:solidFill>
              <a:round/>
            </a:ln>
            <a:effectLst/>
          </c:spPr>
          <c:marker>
            <c:symbol val="none"/>
          </c:marker>
          <c:cat>
            <c:strRef>
              <c:f>'pivot tables'!$R$4:$R$6</c:f>
              <c:strCache>
                <c:ptCount val="3"/>
                <c:pt idx="0">
                  <c:v>Private</c:v>
                </c:pt>
                <c:pt idx="1">
                  <c:v>Retail</c:v>
                </c:pt>
                <c:pt idx="2">
                  <c:v>Corporate</c:v>
                </c:pt>
              </c:strCache>
            </c:strRef>
          </c:cat>
          <c:val>
            <c:numRef>
              <c:f>'pivot tables'!$T$4:$T$6</c:f>
              <c:numCache>
                <c:formatCode>"$"#,##0</c:formatCode>
                <c:ptCount val="3"/>
                <c:pt idx="0">
                  <c:v>118774.17777777778</c:v>
                </c:pt>
                <c:pt idx="1">
                  <c:v>114590.12587412588</c:v>
                </c:pt>
                <c:pt idx="2">
                  <c:v>112910.04142011834</c:v>
                </c:pt>
              </c:numCache>
            </c:numRef>
          </c:val>
          <c:smooth val="0"/>
          <c:extLst>
            <c:ext xmlns:c16="http://schemas.microsoft.com/office/drawing/2014/chart" uri="{C3380CC4-5D6E-409C-BE32-E72D297353CC}">
              <c16:uniqueId val="{00000001-EDAF-4FD9-8951-FFD855E206AB}"/>
            </c:ext>
          </c:extLst>
        </c:ser>
        <c:dLbls>
          <c:showLegendKey val="0"/>
          <c:showVal val="0"/>
          <c:showCatName val="0"/>
          <c:showSerName val="0"/>
          <c:showPercent val="0"/>
          <c:showBubbleSize val="0"/>
        </c:dLbls>
        <c:marker val="1"/>
        <c:smooth val="0"/>
        <c:axId val="1540682400"/>
        <c:axId val="1540671584"/>
      </c:lineChart>
      <c:catAx>
        <c:axId val="15406824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US"/>
          </a:p>
        </c:txPr>
        <c:crossAx val="1540671584"/>
        <c:crosses val="autoZero"/>
        <c:auto val="1"/>
        <c:lblAlgn val="ctr"/>
        <c:lblOffset val="100"/>
        <c:noMultiLvlLbl val="0"/>
      </c:catAx>
      <c:valAx>
        <c:axId val="154067158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crossAx val="1540682400"/>
        <c:crosses val="autoZero"/>
        <c:crossBetween val="between"/>
      </c:valAx>
      <c:valAx>
        <c:axId val="15406878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85000"/>
                  </a:schemeClr>
                </a:solidFill>
                <a:latin typeface="+mn-lt"/>
                <a:ea typeface="+mn-ea"/>
                <a:cs typeface="+mn-cs"/>
              </a:defRPr>
            </a:pPr>
            <a:endParaRPr lang="en-US"/>
          </a:p>
        </c:txPr>
        <c:crossAx val="1540672832"/>
        <c:crosses val="max"/>
        <c:crossBetween val="between"/>
      </c:valAx>
      <c:catAx>
        <c:axId val="1540672832"/>
        <c:scaling>
          <c:orientation val="minMax"/>
        </c:scaling>
        <c:delete val="1"/>
        <c:axPos val="b"/>
        <c:numFmt formatCode="General" sourceLinked="1"/>
        <c:majorTickMark val="out"/>
        <c:minorTickMark val="none"/>
        <c:tickLblPos val="nextTo"/>
        <c:crossAx val="15406878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Challenge Wk1 – Customer Profiling &amp; Segmentation.xlsx]Sheet1!PivotTable4</c:name>
    <c:fmtId val="10"/>
  </c:pivotSource>
  <c:chart>
    <c:autoTitleDeleted val="1"/>
    <c:pivotFmts>
      <c:pivotFmt>
        <c:idx val="0"/>
        <c:spPr>
          <a:solidFill>
            <a:srgbClr val="1787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787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787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rgbClr val="17873C"/>
            </a:solidFill>
            <a:ln>
              <a:noFill/>
            </a:ln>
            <a:effectLst/>
          </c:spPr>
          <c:invertIfNegative val="0"/>
          <c:cat>
            <c:strRef>
              <c:f>Sheet1!$A$4:$A$9</c:f>
              <c:strCache>
                <c:ptCount val="5"/>
                <c:pt idx="0">
                  <c:v>Amanda Nelson</c:v>
                </c:pt>
                <c:pt idx="1">
                  <c:v>Abigail Gallegos</c:v>
                </c:pt>
                <c:pt idx="2">
                  <c:v>Adam Montgomery</c:v>
                </c:pt>
                <c:pt idx="3">
                  <c:v>Daniel Miller</c:v>
                </c:pt>
                <c:pt idx="4">
                  <c:v>Edward Ramirez</c:v>
                </c:pt>
              </c:strCache>
            </c:strRef>
          </c:cat>
          <c:val>
            <c:numRef>
              <c:f>Sheet1!$B$4:$B$9</c:f>
              <c:numCache>
                <c:formatCode>General</c:formatCode>
                <c:ptCount val="5"/>
                <c:pt idx="0">
                  <c:v>9</c:v>
                </c:pt>
                <c:pt idx="1">
                  <c:v>9</c:v>
                </c:pt>
                <c:pt idx="2">
                  <c:v>9</c:v>
                </c:pt>
                <c:pt idx="3">
                  <c:v>10</c:v>
                </c:pt>
                <c:pt idx="4">
                  <c:v>10</c:v>
                </c:pt>
              </c:numCache>
            </c:numRef>
          </c:val>
          <c:extLst>
            <c:ext xmlns:c16="http://schemas.microsoft.com/office/drawing/2014/chart" uri="{C3380CC4-5D6E-409C-BE32-E72D297353CC}">
              <c16:uniqueId val="{00000000-6753-4B2B-834B-EF86D23E68CA}"/>
            </c:ext>
          </c:extLst>
        </c:ser>
        <c:dLbls>
          <c:showLegendKey val="0"/>
          <c:showVal val="0"/>
          <c:showCatName val="0"/>
          <c:showSerName val="0"/>
          <c:showPercent val="0"/>
          <c:showBubbleSize val="0"/>
        </c:dLbls>
        <c:gapWidth val="182"/>
        <c:axId val="1058859775"/>
        <c:axId val="1058869343"/>
      </c:barChart>
      <c:catAx>
        <c:axId val="105885977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lumMod val="85000"/>
                  </a:schemeClr>
                </a:solidFill>
                <a:latin typeface="+mn-lt"/>
                <a:ea typeface="+mn-ea"/>
                <a:cs typeface="+mn-cs"/>
              </a:defRPr>
            </a:pPr>
            <a:endParaRPr lang="en-US"/>
          </a:p>
        </c:txPr>
        <c:crossAx val="1058869343"/>
        <c:crosses val="autoZero"/>
        <c:auto val="1"/>
        <c:lblAlgn val="ctr"/>
        <c:lblOffset val="100"/>
        <c:noMultiLvlLbl val="0"/>
      </c:catAx>
      <c:valAx>
        <c:axId val="1058869343"/>
        <c:scaling>
          <c:orientation val="minMax"/>
        </c:scaling>
        <c:delete val="1"/>
        <c:axPos val="b"/>
        <c:numFmt formatCode="General" sourceLinked="1"/>
        <c:majorTickMark val="none"/>
        <c:minorTickMark val="none"/>
        <c:tickLblPos val="nextTo"/>
        <c:crossAx val="1058859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segment &amp; average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'pivot tables'!$S$3</c:f>
              <c:strCache>
                <c:ptCount val="1"/>
                <c:pt idx="0">
                  <c:v>Customer Segment</c:v>
                </c:pt>
              </c:strCache>
            </c:strRef>
          </c:tx>
          <c:spPr>
            <a:solidFill>
              <a:schemeClr val="accent1"/>
            </a:solidFill>
            <a:ln>
              <a:noFill/>
            </a:ln>
            <a:effectLst/>
          </c:spPr>
          <c:invertIfNegative val="0"/>
          <c:cat>
            <c:strRef>
              <c:f>'pivot tables'!$R$4:$R$6</c:f>
              <c:strCache>
                <c:ptCount val="3"/>
                <c:pt idx="0">
                  <c:v>Private</c:v>
                </c:pt>
                <c:pt idx="1">
                  <c:v>Retail</c:v>
                </c:pt>
                <c:pt idx="2">
                  <c:v>Corporate</c:v>
                </c:pt>
              </c:strCache>
            </c:strRef>
          </c:cat>
          <c:val>
            <c:numRef>
              <c:f>'pivot tables'!$S$4:$S$6</c:f>
              <c:numCache>
                <c:formatCode>General</c:formatCode>
                <c:ptCount val="3"/>
                <c:pt idx="0">
                  <c:v>45</c:v>
                </c:pt>
                <c:pt idx="1">
                  <c:v>286</c:v>
                </c:pt>
                <c:pt idx="2">
                  <c:v>169</c:v>
                </c:pt>
              </c:numCache>
            </c:numRef>
          </c:val>
          <c:extLst>
            <c:ext xmlns:c16="http://schemas.microsoft.com/office/drawing/2014/chart" uri="{C3380CC4-5D6E-409C-BE32-E72D297353CC}">
              <c16:uniqueId val="{00000000-B0B2-4F6F-94A8-5D7F4B59E171}"/>
            </c:ext>
          </c:extLst>
        </c:ser>
        <c:dLbls>
          <c:showLegendKey val="0"/>
          <c:showVal val="0"/>
          <c:showCatName val="0"/>
          <c:showSerName val="0"/>
          <c:showPercent val="0"/>
          <c:showBubbleSize val="0"/>
        </c:dLbls>
        <c:gapWidth val="219"/>
        <c:overlap val="100"/>
        <c:axId val="1540672832"/>
        <c:axId val="1540687808"/>
      </c:barChart>
      <c:lineChart>
        <c:grouping val="standard"/>
        <c:varyColors val="0"/>
        <c:ser>
          <c:idx val="1"/>
          <c:order val="1"/>
          <c:tx>
            <c:strRef>
              <c:f>'pivot tables'!$T$3</c:f>
              <c:strCache>
                <c:ptCount val="1"/>
                <c:pt idx="0">
                  <c:v>Avg. Income</c:v>
                </c:pt>
              </c:strCache>
            </c:strRef>
          </c:tx>
          <c:spPr>
            <a:ln w="28575" cap="rnd">
              <a:solidFill>
                <a:schemeClr val="accent2"/>
              </a:solidFill>
              <a:round/>
            </a:ln>
            <a:effectLst/>
          </c:spPr>
          <c:marker>
            <c:symbol val="none"/>
          </c:marker>
          <c:cat>
            <c:strRef>
              <c:f>'pivot tables'!$R$4:$R$6</c:f>
              <c:strCache>
                <c:ptCount val="3"/>
                <c:pt idx="0">
                  <c:v>Private</c:v>
                </c:pt>
                <c:pt idx="1">
                  <c:v>Retail</c:v>
                </c:pt>
                <c:pt idx="2">
                  <c:v>Corporate</c:v>
                </c:pt>
              </c:strCache>
            </c:strRef>
          </c:cat>
          <c:val>
            <c:numRef>
              <c:f>'pivot tables'!$T$4:$T$6</c:f>
              <c:numCache>
                <c:formatCode>"$"#,##0</c:formatCode>
                <c:ptCount val="3"/>
                <c:pt idx="0">
                  <c:v>118774.17777777778</c:v>
                </c:pt>
                <c:pt idx="1">
                  <c:v>114590.12587412588</c:v>
                </c:pt>
                <c:pt idx="2">
                  <c:v>112910.04142011834</c:v>
                </c:pt>
              </c:numCache>
            </c:numRef>
          </c:val>
          <c:smooth val="0"/>
          <c:extLst>
            <c:ext xmlns:c16="http://schemas.microsoft.com/office/drawing/2014/chart" uri="{C3380CC4-5D6E-409C-BE32-E72D297353CC}">
              <c16:uniqueId val="{00000001-B0B2-4F6F-94A8-5D7F4B59E171}"/>
            </c:ext>
          </c:extLst>
        </c:ser>
        <c:dLbls>
          <c:showLegendKey val="0"/>
          <c:showVal val="0"/>
          <c:showCatName val="0"/>
          <c:showSerName val="0"/>
          <c:showPercent val="0"/>
          <c:showBubbleSize val="0"/>
        </c:dLbls>
        <c:marker val="1"/>
        <c:smooth val="0"/>
        <c:axId val="1540682400"/>
        <c:axId val="1540671584"/>
      </c:lineChart>
      <c:catAx>
        <c:axId val="154068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671584"/>
        <c:crosses val="autoZero"/>
        <c:auto val="1"/>
        <c:lblAlgn val="ctr"/>
        <c:lblOffset val="100"/>
        <c:noMultiLvlLbl val="0"/>
      </c:catAx>
      <c:valAx>
        <c:axId val="15406715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682400"/>
        <c:crosses val="autoZero"/>
        <c:crossBetween val="between"/>
      </c:valAx>
      <c:valAx>
        <c:axId val="15406878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672832"/>
        <c:crosses val="max"/>
        <c:crossBetween val="between"/>
      </c:valAx>
      <c:catAx>
        <c:axId val="1540672832"/>
        <c:scaling>
          <c:orientation val="minMax"/>
        </c:scaling>
        <c:delete val="1"/>
        <c:axPos val="b"/>
        <c:numFmt formatCode="General" sourceLinked="1"/>
        <c:majorTickMark val="out"/>
        <c:minorTickMark val="none"/>
        <c:tickLblPos val="nextTo"/>
        <c:crossAx val="15406878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Challenge Wk1 – Customer Profiling &amp; Segmentation.xlsx]pivot tables!PivotTable5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tables'!$G$3:$G$4</c:f>
              <c:strCache>
                <c:ptCount val="1"/>
                <c:pt idx="0">
                  <c:v>High</c:v>
                </c:pt>
              </c:strCache>
            </c:strRef>
          </c:tx>
          <c:spPr>
            <a:solidFill>
              <a:schemeClr val="accent1"/>
            </a:solidFill>
            <a:ln>
              <a:noFill/>
            </a:ln>
            <a:effectLst/>
          </c:spPr>
          <c:invertIfNegative val="0"/>
          <c:cat>
            <c:strRef>
              <c:f>'pivot tables'!$F$5:$F$9</c:f>
              <c:strCache>
                <c:ptCount val="4"/>
                <c:pt idx="0">
                  <c:v>Boomers</c:v>
                </c:pt>
                <c:pt idx="1">
                  <c:v>Gen X</c:v>
                </c:pt>
                <c:pt idx="2">
                  <c:v>Gen Z</c:v>
                </c:pt>
                <c:pt idx="3">
                  <c:v>Millennials</c:v>
                </c:pt>
              </c:strCache>
            </c:strRef>
          </c:cat>
          <c:val>
            <c:numRef>
              <c:f>'pivot tables'!$G$5:$G$9</c:f>
              <c:numCache>
                <c:formatCode>General</c:formatCode>
                <c:ptCount val="4"/>
                <c:pt idx="0">
                  <c:v>40</c:v>
                </c:pt>
                <c:pt idx="1">
                  <c:v>33</c:v>
                </c:pt>
                <c:pt idx="2">
                  <c:v>22</c:v>
                </c:pt>
                <c:pt idx="3">
                  <c:v>41</c:v>
                </c:pt>
              </c:numCache>
            </c:numRef>
          </c:val>
          <c:extLst>
            <c:ext xmlns:c16="http://schemas.microsoft.com/office/drawing/2014/chart" uri="{C3380CC4-5D6E-409C-BE32-E72D297353CC}">
              <c16:uniqueId val="{00000000-4315-40E9-B376-F67890C37216}"/>
            </c:ext>
          </c:extLst>
        </c:ser>
        <c:ser>
          <c:idx val="1"/>
          <c:order val="1"/>
          <c:tx>
            <c:strRef>
              <c:f>'pivot tables'!$H$3:$H$4</c:f>
              <c:strCache>
                <c:ptCount val="1"/>
                <c:pt idx="0">
                  <c:v>Low</c:v>
                </c:pt>
              </c:strCache>
            </c:strRef>
          </c:tx>
          <c:spPr>
            <a:solidFill>
              <a:schemeClr val="accent2"/>
            </a:solidFill>
            <a:ln>
              <a:noFill/>
            </a:ln>
            <a:effectLst/>
          </c:spPr>
          <c:invertIfNegative val="0"/>
          <c:cat>
            <c:strRef>
              <c:f>'pivot tables'!$F$5:$F$9</c:f>
              <c:strCache>
                <c:ptCount val="4"/>
                <c:pt idx="0">
                  <c:v>Boomers</c:v>
                </c:pt>
                <c:pt idx="1">
                  <c:v>Gen X</c:v>
                </c:pt>
                <c:pt idx="2">
                  <c:v>Gen Z</c:v>
                </c:pt>
                <c:pt idx="3">
                  <c:v>Millennials</c:v>
                </c:pt>
              </c:strCache>
            </c:strRef>
          </c:cat>
          <c:val>
            <c:numRef>
              <c:f>'pivot tables'!$H$5:$H$9</c:f>
              <c:numCache>
                <c:formatCode>General</c:formatCode>
                <c:ptCount val="4"/>
                <c:pt idx="0">
                  <c:v>13</c:v>
                </c:pt>
                <c:pt idx="1">
                  <c:v>18</c:v>
                </c:pt>
                <c:pt idx="2">
                  <c:v>12</c:v>
                </c:pt>
                <c:pt idx="3">
                  <c:v>28</c:v>
                </c:pt>
              </c:numCache>
            </c:numRef>
          </c:val>
          <c:extLst>
            <c:ext xmlns:c16="http://schemas.microsoft.com/office/drawing/2014/chart" uri="{C3380CC4-5D6E-409C-BE32-E72D297353CC}">
              <c16:uniqueId val="{00000001-4315-40E9-B376-F67890C37216}"/>
            </c:ext>
          </c:extLst>
        </c:ser>
        <c:ser>
          <c:idx val="2"/>
          <c:order val="2"/>
          <c:tx>
            <c:strRef>
              <c:f>'pivot tables'!$I$3:$I$4</c:f>
              <c:strCache>
                <c:ptCount val="1"/>
                <c:pt idx="0">
                  <c:v>Medium</c:v>
                </c:pt>
              </c:strCache>
            </c:strRef>
          </c:tx>
          <c:spPr>
            <a:solidFill>
              <a:schemeClr val="accent3"/>
            </a:solidFill>
            <a:ln>
              <a:noFill/>
            </a:ln>
            <a:effectLst/>
          </c:spPr>
          <c:invertIfNegative val="0"/>
          <c:cat>
            <c:strRef>
              <c:f>'pivot tables'!$F$5:$F$9</c:f>
              <c:strCache>
                <c:ptCount val="4"/>
                <c:pt idx="0">
                  <c:v>Boomers</c:v>
                </c:pt>
                <c:pt idx="1">
                  <c:v>Gen X</c:v>
                </c:pt>
                <c:pt idx="2">
                  <c:v>Gen Z</c:v>
                </c:pt>
                <c:pt idx="3">
                  <c:v>Millennials</c:v>
                </c:pt>
              </c:strCache>
            </c:strRef>
          </c:cat>
          <c:val>
            <c:numRef>
              <c:f>'pivot tables'!$I$5:$I$9</c:f>
              <c:numCache>
                <c:formatCode>General</c:formatCode>
                <c:ptCount val="4"/>
                <c:pt idx="0">
                  <c:v>36</c:v>
                </c:pt>
                <c:pt idx="1">
                  <c:v>42</c:v>
                </c:pt>
                <c:pt idx="2">
                  <c:v>29</c:v>
                </c:pt>
                <c:pt idx="3">
                  <c:v>33</c:v>
                </c:pt>
              </c:numCache>
            </c:numRef>
          </c:val>
          <c:extLst>
            <c:ext xmlns:c16="http://schemas.microsoft.com/office/drawing/2014/chart" uri="{C3380CC4-5D6E-409C-BE32-E72D297353CC}">
              <c16:uniqueId val="{00000002-4315-40E9-B376-F67890C37216}"/>
            </c:ext>
          </c:extLst>
        </c:ser>
        <c:ser>
          <c:idx val="3"/>
          <c:order val="3"/>
          <c:tx>
            <c:strRef>
              <c:f>'pivot tables'!$J$3:$J$4</c:f>
              <c:strCache>
                <c:ptCount val="1"/>
                <c:pt idx="0">
                  <c:v>Premium</c:v>
                </c:pt>
              </c:strCache>
            </c:strRef>
          </c:tx>
          <c:spPr>
            <a:solidFill>
              <a:schemeClr val="accent4"/>
            </a:solidFill>
            <a:ln>
              <a:noFill/>
            </a:ln>
            <a:effectLst/>
          </c:spPr>
          <c:invertIfNegative val="0"/>
          <c:cat>
            <c:strRef>
              <c:f>'pivot tables'!$F$5:$F$9</c:f>
              <c:strCache>
                <c:ptCount val="4"/>
                <c:pt idx="0">
                  <c:v>Boomers</c:v>
                </c:pt>
                <c:pt idx="1">
                  <c:v>Gen X</c:v>
                </c:pt>
                <c:pt idx="2">
                  <c:v>Gen Z</c:v>
                </c:pt>
                <c:pt idx="3">
                  <c:v>Millennials</c:v>
                </c:pt>
              </c:strCache>
            </c:strRef>
          </c:cat>
          <c:val>
            <c:numRef>
              <c:f>'pivot tables'!$J$5:$J$9</c:f>
              <c:numCache>
                <c:formatCode>General</c:formatCode>
                <c:ptCount val="4"/>
                <c:pt idx="0">
                  <c:v>37</c:v>
                </c:pt>
                <c:pt idx="1">
                  <c:v>48</c:v>
                </c:pt>
                <c:pt idx="2">
                  <c:v>23</c:v>
                </c:pt>
                <c:pt idx="3">
                  <c:v>45</c:v>
                </c:pt>
              </c:numCache>
            </c:numRef>
          </c:val>
          <c:extLst>
            <c:ext xmlns:c16="http://schemas.microsoft.com/office/drawing/2014/chart" uri="{C3380CC4-5D6E-409C-BE32-E72D297353CC}">
              <c16:uniqueId val="{00000003-4315-40E9-B376-F67890C37216}"/>
            </c:ext>
          </c:extLst>
        </c:ser>
        <c:dLbls>
          <c:showLegendKey val="0"/>
          <c:showVal val="0"/>
          <c:showCatName val="0"/>
          <c:showSerName val="0"/>
          <c:showPercent val="0"/>
          <c:showBubbleSize val="0"/>
        </c:dLbls>
        <c:gapWidth val="219"/>
        <c:overlap val="-27"/>
        <c:axId val="1319348432"/>
        <c:axId val="1319342608"/>
      </c:barChart>
      <c:catAx>
        <c:axId val="131934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342608"/>
        <c:crosses val="autoZero"/>
        <c:auto val="1"/>
        <c:lblAlgn val="ctr"/>
        <c:lblOffset val="100"/>
        <c:noMultiLvlLbl val="0"/>
      </c:catAx>
      <c:valAx>
        <c:axId val="131934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34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Challenge Wk1 – Customer Profiling &amp; Segmentation.xlsx]pivot tables!PivotTable4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Female</c:v>
                </c:pt>
              </c:strCache>
            </c:strRef>
          </c:tx>
          <c:spPr>
            <a:solidFill>
              <a:schemeClr val="accent1"/>
            </a:solidFill>
            <a:ln>
              <a:noFill/>
            </a:ln>
            <a:effectLst/>
          </c:spPr>
          <c:invertIfNegative val="0"/>
          <c:cat>
            <c:strRef>
              <c:f>'pivot tables'!$A$5:$A$9</c:f>
              <c:strCache>
                <c:ptCount val="4"/>
                <c:pt idx="0">
                  <c:v>East</c:v>
                </c:pt>
                <c:pt idx="1">
                  <c:v>North</c:v>
                </c:pt>
                <c:pt idx="2">
                  <c:v>South</c:v>
                </c:pt>
                <c:pt idx="3">
                  <c:v>West</c:v>
                </c:pt>
              </c:strCache>
            </c:strRef>
          </c:cat>
          <c:val>
            <c:numRef>
              <c:f>'pivot tables'!$B$5:$B$9</c:f>
              <c:numCache>
                <c:formatCode>General</c:formatCode>
                <c:ptCount val="4"/>
                <c:pt idx="0">
                  <c:v>71</c:v>
                </c:pt>
                <c:pt idx="1">
                  <c:v>57</c:v>
                </c:pt>
                <c:pt idx="2">
                  <c:v>70</c:v>
                </c:pt>
                <c:pt idx="3">
                  <c:v>58</c:v>
                </c:pt>
              </c:numCache>
            </c:numRef>
          </c:val>
          <c:extLst>
            <c:ext xmlns:c16="http://schemas.microsoft.com/office/drawing/2014/chart" uri="{C3380CC4-5D6E-409C-BE32-E72D297353CC}">
              <c16:uniqueId val="{00000000-ED8A-404A-AD4E-F2EF89816CA4}"/>
            </c:ext>
          </c:extLst>
        </c:ser>
        <c:ser>
          <c:idx val="1"/>
          <c:order val="1"/>
          <c:tx>
            <c:strRef>
              <c:f>'pivot tables'!$C$3:$C$4</c:f>
              <c:strCache>
                <c:ptCount val="1"/>
                <c:pt idx="0">
                  <c:v>Male</c:v>
                </c:pt>
              </c:strCache>
            </c:strRef>
          </c:tx>
          <c:spPr>
            <a:solidFill>
              <a:schemeClr val="accent2"/>
            </a:solidFill>
            <a:ln>
              <a:noFill/>
            </a:ln>
            <a:effectLst/>
          </c:spPr>
          <c:invertIfNegative val="0"/>
          <c:cat>
            <c:strRef>
              <c:f>'pivot tables'!$A$5:$A$9</c:f>
              <c:strCache>
                <c:ptCount val="4"/>
                <c:pt idx="0">
                  <c:v>East</c:v>
                </c:pt>
                <c:pt idx="1">
                  <c:v>North</c:v>
                </c:pt>
                <c:pt idx="2">
                  <c:v>South</c:v>
                </c:pt>
                <c:pt idx="3">
                  <c:v>West</c:v>
                </c:pt>
              </c:strCache>
            </c:strRef>
          </c:cat>
          <c:val>
            <c:numRef>
              <c:f>'pivot tables'!$C$5:$C$9</c:f>
              <c:numCache>
                <c:formatCode>General</c:formatCode>
                <c:ptCount val="4"/>
                <c:pt idx="0">
                  <c:v>62</c:v>
                </c:pt>
                <c:pt idx="1">
                  <c:v>63</c:v>
                </c:pt>
                <c:pt idx="2">
                  <c:v>67</c:v>
                </c:pt>
                <c:pt idx="3">
                  <c:v>52</c:v>
                </c:pt>
              </c:numCache>
            </c:numRef>
          </c:val>
          <c:extLst>
            <c:ext xmlns:c16="http://schemas.microsoft.com/office/drawing/2014/chart" uri="{C3380CC4-5D6E-409C-BE32-E72D297353CC}">
              <c16:uniqueId val="{00000001-D0EA-455A-9777-0E88FA7B9F52}"/>
            </c:ext>
          </c:extLst>
        </c:ser>
        <c:dLbls>
          <c:showLegendKey val="0"/>
          <c:showVal val="0"/>
          <c:showCatName val="0"/>
          <c:showSerName val="0"/>
          <c:showPercent val="0"/>
          <c:showBubbleSize val="0"/>
        </c:dLbls>
        <c:gapWidth val="219"/>
        <c:overlap val="-27"/>
        <c:axId val="1540678240"/>
        <c:axId val="1540680736"/>
      </c:barChart>
      <c:catAx>
        <c:axId val="154067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680736"/>
        <c:crosses val="autoZero"/>
        <c:auto val="1"/>
        <c:lblAlgn val="ctr"/>
        <c:lblOffset val="100"/>
        <c:noMultiLvlLbl val="0"/>
      </c:catAx>
      <c:valAx>
        <c:axId val="1540680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67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Challenge Wk1 – Customer Profiling &amp; Segmentation.xlsx]pivot tables!PivotTable7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B9-45DC-9EAE-6483FEFCAB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B9-45DC-9EAE-6483FEFCAB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B9-45DC-9EAE-6483FEFCABA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B9-45DC-9EAE-6483FEFCAB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tables'!$A$13:$A$17</c:f>
              <c:strCache>
                <c:ptCount val="4"/>
                <c:pt idx="0">
                  <c:v>East</c:v>
                </c:pt>
                <c:pt idx="1">
                  <c:v>North</c:v>
                </c:pt>
                <c:pt idx="2">
                  <c:v>South</c:v>
                </c:pt>
                <c:pt idx="3">
                  <c:v>West</c:v>
                </c:pt>
              </c:strCache>
            </c:strRef>
          </c:cat>
          <c:val>
            <c:numRef>
              <c:f>'pivot tables'!$B$13:$B$17</c:f>
              <c:numCache>
                <c:formatCode>General</c:formatCode>
                <c:ptCount val="4"/>
                <c:pt idx="0">
                  <c:v>133</c:v>
                </c:pt>
                <c:pt idx="1">
                  <c:v>120</c:v>
                </c:pt>
                <c:pt idx="2">
                  <c:v>137</c:v>
                </c:pt>
                <c:pt idx="3">
                  <c:v>110</c:v>
                </c:pt>
              </c:numCache>
            </c:numRef>
          </c:val>
          <c:extLst>
            <c:ext xmlns:c16="http://schemas.microsoft.com/office/drawing/2014/chart" uri="{C3380CC4-5D6E-409C-BE32-E72D297353CC}">
              <c16:uniqueId val="{00000008-F6B9-45DC-9EAE-6483FEFCABA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Challenge Wk1 – Customer Profiling &amp; Segmentation.xlsx]pivot 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tables'!$E$13:$E$17</c:f>
              <c:strCache>
                <c:ptCount val="4"/>
                <c:pt idx="0">
                  <c:v>0-1yr</c:v>
                </c:pt>
                <c:pt idx="1">
                  <c:v>1-3yrs</c:v>
                </c:pt>
                <c:pt idx="2">
                  <c:v>3-5yrs</c:v>
                </c:pt>
                <c:pt idx="3">
                  <c:v>5yrs +</c:v>
                </c:pt>
              </c:strCache>
            </c:strRef>
          </c:cat>
          <c:val>
            <c:numRef>
              <c:f>'pivot tables'!$F$13:$F$17</c:f>
              <c:numCache>
                <c:formatCode>General</c:formatCode>
                <c:ptCount val="4"/>
                <c:pt idx="0">
                  <c:v>41</c:v>
                </c:pt>
                <c:pt idx="1">
                  <c:v>103</c:v>
                </c:pt>
                <c:pt idx="2">
                  <c:v>100</c:v>
                </c:pt>
                <c:pt idx="3">
                  <c:v>256</c:v>
                </c:pt>
              </c:numCache>
            </c:numRef>
          </c:val>
          <c:extLst>
            <c:ext xmlns:c16="http://schemas.microsoft.com/office/drawing/2014/chart" uri="{C3380CC4-5D6E-409C-BE32-E72D297353CC}">
              <c16:uniqueId val="{00000003-811A-47C3-9110-A595D7F811C3}"/>
            </c:ext>
          </c:extLst>
        </c:ser>
        <c:dLbls>
          <c:dLblPos val="outEnd"/>
          <c:showLegendKey val="0"/>
          <c:showVal val="1"/>
          <c:showCatName val="0"/>
          <c:showSerName val="0"/>
          <c:showPercent val="0"/>
          <c:showBubbleSize val="0"/>
        </c:dLbls>
        <c:gapWidth val="219"/>
        <c:axId val="2079141088"/>
        <c:axId val="2079149824"/>
      </c:barChart>
      <c:catAx>
        <c:axId val="207914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149824"/>
        <c:crosses val="autoZero"/>
        <c:auto val="1"/>
        <c:lblAlgn val="ctr"/>
        <c:lblOffset val="100"/>
        <c:noMultiLvlLbl val="0"/>
      </c:catAx>
      <c:valAx>
        <c:axId val="2079149824"/>
        <c:scaling>
          <c:orientation val="minMax"/>
        </c:scaling>
        <c:delete val="1"/>
        <c:axPos val="b"/>
        <c:numFmt formatCode="General" sourceLinked="1"/>
        <c:majorTickMark val="none"/>
        <c:minorTickMark val="none"/>
        <c:tickLblPos val="nextTo"/>
        <c:crossAx val="207914108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Challenge Wk1 – Customer Profiling &amp; Segmentation.xlsx]pivot tables!PivotTable7</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0A3E1B"/>
          </a:solidFill>
          <a:ln w="19050">
            <a:noFill/>
          </a:ln>
          <a:effectLst/>
        </c:spPr>
      </c:pivotFmt>
      <c:pivotFmt>
        <c:idx val="18"/>
        <c:spPr>
          <a:solidFill>
            <a:schemeClr val="accent6">
              <a:lumMod val="75000"/>
            </a:schemeClr>
          </a:solidFill>
          <a:ln w="19050">
            <a:noFill/>
          </a:ln>
          <a:effectLst/>
        </c:spPr>
      </c:pivotFmt>
      <c:pivotFmt>
        <c:idx val="19"/>
        <c:spPr>
          <a:solidFill>
            <a:schemeClr val="accent6">
              <a:lumMod val="60000"/>
              <a:lumOff val="40000"/>
            </a:schemeClr>
          </a:solidFill>
          <a:ln w="19050">
            <a:noFill/>
          </a:ln>
          <a:effectLst/>
        </c:spPr>
      </c:pivotFmt>
      <c:pivotFmt>
        <c:idx val="20"/>
        <c:spPr>
          <a:solidFill>
            <a:srgbClr val="24D65F"/>
          </a:solidFill>
          <a:ln w="19050">
            <a:no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0A3E1B"/>
          </a:solidFill>
          <a:ln w="19050">
            <a:noFill/>
          </a:ln>
          <a:effectLst/>
        </c:spPr>
      </c:pivotFmt>
      <c:pivotFmt>
        <c:idx val="23"/>
        <c:spPr>
          <a:solidFill>
            <a:schemeClr val="accent6">
              <a:lumMod val="75000"/>
            </a:schemeClr>
          </a:solidFill>
          <a:ln w="19050">
            <a:noFill/>
          </a:ln>
          <a:effectLst/>
        </c:spPr>
      </c:pivotFmt>
      <c:pivotFmt>
        <c:idx val="24"/>
        <c:spPr>
          <a:solidFill>
            <a:schemeClr val="accent6">
              <a:lumMod val="60000"/>
              <a:lumOff val="40000"/>
            </a:schemeClr>
          </a:solidFill>
          <a:ln w="19050">
            <a:noFill/>
          </a:ln>
          <a:effectLst/>
        </c:spPr>
      </c:pivotFmt>
      <c:pivotFmt>
        <c:idx val="25"/>
        <c:spPr>
          <a:solidFill>
            <a:srgbClr val="24D65F"/>
          </a:solidFill>
          <a:ln w="19050">
            <a:no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rgbClr val="0A3E1B"/>
          </a:solidFill>
          <a:ln w="19050">
            <a:noFill/>
          </a:ln>
          <a:effectLst/>
        </c:spPr>
      </c:pivotFmt>
      <c:pivotFmt>
        <c:idx val="28"/>
        <c:spPr>
          <a:solidFill>
            <a:schemeClr val="accent6">
              <a:lumMod val="75000"/>
            </a:schemeClr>
          </a:solidFill>
          <a:ln w="19050">
            <a:noFill/>
          </a:ln>
          <a:effectLst/>
        </c:spPr>
      </c:pivotFmt>
      <c:pivotFmt>
        <c:idx val="29"/>
        <c:spPr>
          <a:solidFill>
            <a:schemeClr val="accent6">
              <a:lumMod val="60000"/>
              <a:lumOff val="40000"/>
            </a:schemeClr>
          </a:solidFill>
          <a:ln w="19050">
            <a:noFill/>
          </a:ln>
          <a:effectLst/>
        </c:spPr>
      </c:pivotFmt>
      <c:pivotFmt>
        <c:idx val="30"/>
        <c:spPr>
          <a:solidFill>
            <a:srgbClr val="24D65F"/>
          </a:solidFill>
          <a:ln w="19050">
            <a:noFill/>
          </a:ln>
          <a:effectLst/>
        </c:spPr>
      </c:pivotFmt>
    </c:pivotFmts>
    <c:plotArea>
      <c:layout>
        <c:manualLayout>
          <c:layoutTarget val="inner"/>
          <c:xMode val="edge"/>
          <c:yMode val="edge"/>
          <c:x val="0.18479866810463649"/>
          <c:y val="0.15696529335454973"/>
          <c:w val="0.51781301233720067"/>
          <c:h val="0.72984115420418405"/>
        </c:manualLayout>
      </c:layout>
      <c:doughnutChart>
        <c:varyColors val="1"/>
        <c:ser>
          <c:idx val="0"/>
          <c:order val="0"/>
          <c:tx>
            <c:strRef>
              <c:f>'pivot tables'!$B$12</c:f>
              <c:strCache>
                <c:ptCount val="1"/>
                <c:pt idx="0">
                  <c:v>Total</c:v>
                </c:pt>
              </c:strCache>
            </c:strRef>
          </c:tx>
          <c:dPt>
            <c:idx val="0"/>
            <c:bubble3D val="0"/>
            <c:spPr>
              <a:solidFill>
                <a:srgbClr val="0A3E1B"/>
              </a:solidFill>
              <a:ln w="19050">
                <a:noFill/>
              </a:ln>
              <a:effectLst/>
            </c:spPr>
            <c:extLst>
              <c:ext xmlns:c16="http://schemas.microsoft.com/office/drawing/2014/chart" uri="{C3380CC4-5D6E-409C-BE32-E72D297353CC}">
                <c16:uniqueId val="{00000001-3CFA-4C3B-B17A-D2DD77D861E2}"/>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3CFA-4C3B-B17A-D2DD77D861E2}"/>
              </c:ext>
            </c:extLst>
          </c:dPt>
          <c:dPt>
            <c:idx val="2"/>
            <c:bubble3D val="0"/>
            <c:spPr>
              <a:solidFill>
                <a:schemeClr val="accent6">
                  <a:lumMod val="60000"/>
                  <a:lumOff val="40000"/>
                </a:schemeClr>
              </a:solidFill>
              <a:ln w="19050">
                <a:noFill/>
              </a:ln>
              <a:effectLst/>
            </c:spPr>
            <c:extLst>
              <c:ext xmlns:c16="http://schemas.microsoft.com/office/drawing/2014/chart" uri="{C3380CC4-5D6E-409C-BE32-E72D297353CC}">
                <c16:uniqueId val="{00000005-3CFA-4C3B-B17A-D2DD77D861E2}"/>
              </c:ext>
            </c:extLst>
          </c:dPt>
          <c:dPt>
            <c:idx val="3"/>
            <c:bubble3D val="0"/>
            <c:spPr>
              <a:solidFill>
                <a:srgbClr val="24D65F"/>
              </a:solidFill>
              <a:ln w="19050">
                <a:noFill/>
              </a:ln>
              <a:effectLst/>
            </c:spPr>
            <c:extLst>
              <c:ext xmlns:c16="http://schemas.microsoft.com/office/drawing/2014/chart" uri="{C3380CC4-5D6E-409C-BE32-E72D297353CC}">
                <c16:uniqueId val="{00000007-3CFA-4C3B-B17A-D2DD77D861E2}"/>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tables'!$A$13:$A$17</c:f>
              <c:strCache>
                <c:ptCount val="4"/>
                <c:pt idx="0">
                  <c:v>East</c:v>
                </c:pt>
                <c:pt idx="1">
                  <c:v>North</c:v>
                </c:pt>
                <c:pt idx="2">
                  <c:v>South</c:v>
                </c:pt>
                <c:pt idx="3">
                  <c:v>West</c:v>
                </c:pt>
              </c:strCache>
            </c:strRef>
          </c:cat>
          <c:val>
            <c:numRef>
              <c:f>'pivot tables'!$B$13:$B$17</c:f>
              <c:numCache>
                <c:formatCode>General</c:formatCode>
                <c:ptCount val="4"/>
                <c:pt idx="0">
                  <c:v>133</c:v>
                </c:pt>
                <c:pt idx="1">
                  <c:v>120</c:v>
                </c:pt>
                <c:pt idx="2">
                  <c:v>137</c:v>
                </c:pt>
                <c:pt idx="3">
                  <c:v>110</c:v>
                </c:pt>
              </c:numCache>
            </c:numRef>
          </c:val>
          <c:extLst>
            <c:ext xmlns:c16="http://schemas.microsoft.com/office/drawing/2014/chart" uri="{C3380CC4-5D6E-409C-BE32-E72D297353CC}">
              <c16:uniqueId val="{00000008-3CFA-4C3B-B17A-D2DD77D861E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bg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 Bank Challenge Wk1 – Customer Profiling &amp; Segmentation.xlsx]Sheet1!PivotTable4</c:name>
    <c:fmtId val="4"/>
  </c:pivotSource>
  <c:chart>
    <c:autoTitleDeleted val="1"/>
    <c:pivotFmts>
      <c:pivotFmt>
        <c:idx val="0"/>
        <c:spPr>
          <a:solidFill>
            <a:srgbClr val="1787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rgbClr val="17873C"/>
            </a:solidFill>
            <a:ln>
              <a:noFill/>
            </a:ln>
            <a:effectLst/>
          </c:spPr>
          <c:invertIfNegative val="0"/>
          <c:cat>
            <c:strRef>
              <c:f>Sheet1!$A$4:$A$9</c:f>
              <c:strCache>
                <c:ptCount val="5"/>
                <c:pt idx="0">
                  <c:v>Amanda Nelson</c:v>
                </c:pt>
                <c:pt idx="1">
                  <c:v>Abigail Gallegos</c:v>
                </c:pt>
                <c:pt idx="2">
                  <c:v>Adam Montgomery</c:v>
                </c:pt>
                <c:pt idx="3">
                  <c:v>Daniel Miller</c:v>
                </c:pt>
                <c:pt idx="4">
                  <c:v>Edward Ramirez</c:v>
                </c:pt>
              </c:strCache>
            </c:strRef>
          </c:cat>
          <c:val>
            <c:numRef>
              <c:f>Sheet1!$B$4:$B$9</c:f>
              <c:numCache>
                <c:formatCode>General</c:formatCode>
                <c:ptCount val="5"/>
                <c:pt idx="0">
                  <c:v>9</c:v>
                </c:pt>
                <c:pt idx="1">
                  <c:v>9</c:v>
                </c:pt>
                <c:pt idx="2">
                  <c:v>9</c:v>
                </c:pt>
                <c:pt idx="3">
                  <c:v>10</c:v>
                </c:pt>
                <c:pt idx="4">
                  <c:v>10</c:v>
                </c:pt>
              </c:numCache>
            </c:numRef>
          </c:val>
          <c:extLst>
            <c:ext xmlns:c16="http://schemas.microsoft.com/office/drawing/2014/chart" uri="{C3380CC4-5D6E-409C-BE32-E72D297353CC}">
              <c16:uniqueId val="{00000000-BDFE-4728-AFDE-2BD4A11B0A8F}"/>
            </c:ext>
          </c:extLst>
        </c:ser>
        <c:dLbls>
          <c:showLegendKey val="0"/>
          <c:showVal val="0"/>
          <c:showCatName val="0"/>
          <c:showSerName val="0"/>
          <c:showPercent val="0"/>
          <c:showBubbleSize val="0"/>
        </c:dLbls>
        <c:gapWidth val="182"/>
        <c:axId val="1058859775"/>
        <c:axId val="1058869343"/>
      </c:barChart>
      <c:catAx>
        <c:axId val="1058859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869343"/>
        <c:crosses val="autoZero"/>
        <c:auto val="1"/>
        <c:lblAlgn val="ctr"/>
        <c:lblOffset val="100"/>
        <c:noMultiLvlLbl val="0"/>
      </c:catAx>
      <c:valAx>
        <c:axId val="1058869343"/>
        <c:scaling>
          <c:orientation val="minMax"/>
        </c:scaling>
        <c:delete val="1"/>
        <c:axPos val="b"/>
        <c:numFmt formatCode="General" sourceLinked="1"/>
        <c:majorTickMark val="none"/>
        <c:minorTickMark val="none"/>
        <c:tickLblPos val="nextTo"/>
        <c:crossAx val="1058859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6.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5.png"/><Relationship Id="rId2" Type="http://schemas.openxmlformats.org/officeDocument/2006/relationships/chart" Target="../charts/chart2.xml"/><Relationship Id="rId16" Type="http://schemas.openxmlformats.org/officeDocument/2006/relationships/image" Target="../media/image8.svg"/><Relationship Id="rId1" Type="http://schemas.openxmlformats.org/officeDocument/2006/relationships/chart" Target="../charts/chart1.xml"/><Relationship Id="rId6" Type="http://schemas.openxmlformats.org/officeDocument/2006/relationships/hyperlink" Target="metro%20Bank%20week%202%20task.xlsx" TargetMode="External"/><Relationship Id="rId11" Type="http://schemas.openxmlformats.org/officeDocument/2006/relationships/image" Target="../media/image4.svg"/><Relationship Id="rId5" Type="http://schemas.openxmlformats.org/officeDocument/2006/relationships/chart" Target="../charts/chart5.xml"/><Relationship Id="rId15" Type="http://schemas.openxmlformats.org/officeDocument/2006/relationships/image" Target="../media/image7.png"/><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hyperlink" Target="#KPIs!A1"/><Relationship Id="rId14" Type="http://schemas.openxmlformats.org/officeDocument/2006/relationships/hyperlink" Target="#'pivot tables'!A1"/></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96864</xdr:colOff>
      <xdr:row>4</xdr:row>
      <xdr:rowOff>129153</xdr:rowOff>
    </xdr:from>
    <xdr:to>
      <xdr:col>26</xdr:col>
      <xdr:colOff>322881</xdr:colOff>
      <xdr:row>40</xdr:row>
      <xdr:rowOff>10763</xdr:rowOff>
    </xdr:to>
    <xdr:grpSp>
      <xdr:nvGrpSpPr>
        <xdr:cNvPr id="4" name="Group 3">
          <a:extLst>
            <a:ext uri="{FF2B5EF4-FFF2-40B4-BE49-F238E27FC236}">
              <a16:creationId xmlns:a16="http://schemas.microsoft.com/office/drawing/2014/main" id="{9D4B84A1-4E0F-47AB-B7C3-0DFF6843CACC}"/>
            </a:ext>
          </a:extLst>
        </xdr:cNvPr>
        <xdr:cNvGrpSpPr/>
      </xdr:nvGrpSpPr>
      <xdr:grpSpPr>
        <a:xfrm>
          <a:off x="1937288" y="861017"/>
          <a:ext cx="14335932" cy="6468390"/>
          <a:chOff x="0" y="0"/>
          <a:chExt cx="14335932" cy="6468390"/>
        </a:xfrm>
      </xdr:grpSpPr>
      <xdr:sp macro="" textlink="">
        <xdr:nvSpPr>
          <xdr:cNvPr id="2" name="Rectangle: Rounded Corners 1">
            <a:extLst>
              <a:ext uri="{FF2B5EF4-FFF2-40B4-BE49-F238E27FC236}">
                <a16:creationId xmlns:a16="http://schemas.microsoft.com/office/drawing/2014/main" id="{7186E9D9-5490-423A-BF62-3CF4F787D821}"/>
              </a:ext>
            </a:extLst>
          </xdr:cNvPr>
          <xdr:cNvSpPr/>
        </xdr:nvSpPr>
        <xdr:spPr>
          <a:xfrm>
            <a:off x="0" y="0"/>
            <a:ext cx="14335932" cy="6468390"/>
          </a:xfrm>
          <a:prstGeom prst="roundRect">
            <a:avLst>
              <a:gd name="adj" fmla="val 3300"/>
            </a:avLst>
          </a:prstGeom>
          <a:gradFill flip="none" rotWithShape="1">
            <a:gsLst>
              <a:gs pos="43277">
                <a:srgbClr val="24D65F"/>
              </a:gs>
              <a:gs pos="97000">
                <a:schemeClr val="accent6">
                  <a:lumMod val="50000"/>
                </a:schemeClr>
              </a:gs>
              <a:gs pos="56000">
                <a:srgbClr val="41976B"/>
              </a:gs>
              <a:gs pos="25000">
                <a:schemeClr val="tx1">
                  <a:lumMod val="85000"/>
                  <a:lumOff val="15000"/>
                </a:schemeClr>
              </a:gs>
              <a:gs pos="74000">
                <a:srgbClr val="24D65F"/>
              </a:gs>
              <a:gs pos="6000">
                <a:srgbClr val="24D65F"/>
              </a:gs>
              <a:gs pos="100000">
                <a:schemeClr val="accent1">
                  <a:lumMod val="30000"/>
                  <a:lumOff val="70000"/>
                </a:schemeClr>
              </a:gs>
            </a:gsLst>
            <a:lin ang="480000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sp macro="" textlink="">
        <xdr:nvSpPr>
          <xdr:cNvPr id="3" name="Rectangle 2">
            <a:extLst>
              <a:ext uri="{FF2B5EF4-FFF2-40B4-BE49-F238E27FC236}">
                <a16:creationId xmlns:a16="http://schemas.microsoft.com/office/drawing/2014/main" id="{6D0C642E-30D3-4D5F-BAE1-112588EC37DA}"/>
              </a:ext>
            </a:extLst>
          </xdr:cNvPr>
          <xdr:cNvSpPr/>
        </xdr:nvSpPr>
        <xdr:spPr>
          <a:xfrm>
            <a:off x="563561" y="437624"/>
            <a:ext cx="13309575" cy="5793986"/>
          </a:xfrm>
          <a:prstGeom prst="rect">
            <a:avLst/>
          </a:prstGeom>
          <a:solidFill>
            <a:schemeClr val="bg2">
              <a:lumMod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extLst>
              <a:ext uri="{FF2B5EF4-FFF2-40B4-BE49-F238E27FC236}">
                <a16:creationId xmlns:a16="http://schemas.microsoft.com/office/drawing/2014/main" id="{488056A0-BBB2-4E78-8E3E-236641958DF0}"/>
              </a:ext>
            </a:extLst>
          </xdr:cNvPr>
          <xdr:cNvSpPr/>
        </xdr:nvSpPr>
        <xdr:spPr>
          <a:xfrm>
            <a:off x="9081692" y="430508"/>
            <a:ext cx="4716105" cy="5822628"/>
          </a:xfrm>
          <a:prstGeom prst="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8" name="Chart 7">
            <a:extLst>
              <a:ext uri="{FF2B5EF4-FFF2-40B4-BE49-F238E27FC236}">
                <a16:creationId xmlns:a16="http://schemas.microsoft.com/office/drawing/2014/main" id="{92B8E4D4-7EF7-4C85-886D-EA2314F3E0ED}"/>
              </a:ext>
            </a:extLst>
          </xdr:cNvPr>
          <xdr:cNvGraphicFramePr>
            <a:graphicFrameLocks/>
          </xdr:cNvGraphicFramePr>
        </xdr:nvGraphicFramePr>
        <xdr:xfrm>
          <a:off x="9460424" y="1008498"/>
          <a:ext cx="4188926" cy="2262108"/>
        </xdr:xfrm>
        <a:graphic>
          <a:graphicData uri="http://schemas.openxmlformats.org/drawingml/2006/chart">
            <c:chart xmlns:c="http://schemas.openxmlformats.org/drawingml/2006/chart" xmlns:r="http://schemas.openxmlformats.org/officeDocument/2006/relationships" r:id="rId1"/>
          </a:graphicData>
        </a:graphic>
      </xdr:graphicFrame>
      <xdr:sp macro="" textlink="'pivot tables'!A2">
        <xdr:nvSpPr>
          <xdr:cNvPr id="10" name="Rectangle: Rounded Corners 9">
            <a:extLst>
              <a:ext uri="{FF2B5EF4-FFF2-40B4-BE49-F238E27FC236}">
                <a16:creationId xmlns:a16="http://schemas.microsoft.com/office/drawing/2014/main" id="{E15634A6-F8D8-42FB-8E23-11175F5EA5BD}"/>
              </a:ext>
            </a:extLst>
          </xdr:cNvPr>
          <xdr:cNvSpPr/>
        </xdr:nvSpPr>
        <xdr:spPr>
          <a:xfrm>
            <a:off x="9881150" y="548898"/>
            <a:ext cx="3163584" cy="471766"/>
          </a:xfrm>
          <a:prstGeom prst="roundRect">
            <a:avLst>
              <a:gd name="adj" fmla="val 35816"/>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B2DDB60-4E0D-4948-AFA5-02E9F62F1132}" type="TxLink">
              <a:rPr lang="en-US" sz="1400" b="1" i="0" u="none" strike="noStrike">
                <a:solidFill>
                  <a:schemeClr val="bg1">
                    <a:lumMod val="85000"/>
                  </a:schemeClr>
                </a:solidFill>
                <a:latin typeface="Calibri"/>
                <a:cs typeface="Calibri"/>
              </a:rPr>
              <a:pPr algn="ctr"/>
              <a:t>No. Of Customers By Region &amp; Gender</a:t>
            </a:fld>
            <a:endParaRPr lang="en-US" sz="1800" b="1">
              <a:solidFill>
                <a:schemeClr val="bg1">
                  <a:lumMod val="85000"/>
                </a:schemeClr>
              </a:solidFill>
            </a:endParaRPr>
          </a:p>
        </xdr:txBody>
      </xdr:sp>
      <xdr:sp macro="" textlink="">
        <xdr:nvSpPr>
          <xdr:cNvPr id="11" name="Rectangle 10">
            <a:extLst>
              <a:ext uri="{FF2B5EF4-FFF2-40B4-BE49-F238E27FC236}">
                <a16:creationId xmlns:a16="http://schemas.microsoft.com/office/drawing/2014/main" id="{A1F01B0A-A4AC-4BDC-A41A-B838E00BFD45}"/>
              </a:ext>
            </a:extLst>
          </xdr:cNvPr>
          <xdr:cNvSpPr/>
        </xdr:nvSpPr>
        <xdr:spPr>
          <a:xfrm>
            <a:off x="4435598" y="1521456"/>
            <a:ext cx="4541156" cy="4677865"/>
          </a:xfrm>
          <a:prstGeom prst="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2" name="Chart 11">
            <a:extLst>
              <a:ext uri="{FF2B5EF4-FFF2-40B4-BE49-F238E27FC236}">
                <a16:creationId xmlns:a16="http://schemas.microsoft.com/office/drawing/2014/main" id="{A75602B6-2E39-441B-94F0-AB00DE261BD3}"/>
              </a:ext>
            </a:extLst>
          </xdr:cNvPr>
          <xdr:cNvGraphicFramePr>
            <a:graphicFrameLocks/>
          </xdr:cNvGraphicFramePr>
        </xdr:nvGraphicFramePr>
        <xdr:xfrm>
          <a:off x="4484338" y="4025253"/>
          <a:ext cx="4465183" cy="209872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6" name="Chart 15">
            <a:extLst>
              <a:ext uri="{FF2B5EF4-FFF2-40B4-BE49-F238E27FC236}">
                <a16:creationId xmlns:a16="http://schemas.microsoft.com/office/drawing/2014/main" id="{1F49DF83-EC23-44D9-8B0E-B01C89B53BCE}"/>
              </a:ext>
            </a:extLst>
          </xdr:cNvPr>
          <xdr:cNvGraphicFramePr>
            <a:graphicFrameLocks/>
          </xdr:cNvGraphicFramePr>
        </xdr:nvGraphicFramePr>
        <xdr:xfrm>
          <a:off x="4753778" y="1957020"/>
          <a:ext cx="4106542" cy="1745723"/>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7" name="Rectangle 16">
            <a:extLst>
              <a:ext uri="{FF2B5EF4-FFF2-40B4-BE49-F238E27FC236}">
                <a16:creationId xmlns:a16="http://schemas.microsoft.com/office/drawing/2014/main" id="{7BEE6F92-D98E-41FA-B8EA-1D5E935A28F9}"/>
              </a:ext>
            </a:extLst>
          </xdr:cNvPr>
          <xdr:cNvSpPr/>
        </xdr:nvSpPr>
        <xdr:spPr>
          <a:xfrm>
            <a:off x="591949" y="1521457"/>
            <a:ext cx="3680848" cy="4645578"/>
          </a:xfrm>
          <a:prstGeom prst="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8" name="Chart 17">
            <a:extLst>
              <a:ext uri="{FF2B5EF4-FFF2-40B4-BE49-F238E27FC236}">
                <a16:creationId xmlns:a16="http://schemas.microsoft.com/office/drawing/2014/main" id="{44D24542-2D36-4B38-9AA9-867B8442955F}"/>
              </a:ext>
            </a:extLst>
          </xdr:cNvPr>
          <xdr:cNvGraphicFramePr>
            <a:graphicFrameLocks/>
          </xdr:cNvGraphicFramePr>
        </xdr:nvGraphicFramePr>
        <xdr:xfrm>
          <a:off x="628074" y="2022247"/>
          <a:ext cx="3483282" cy="4069447"/>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9" name="Rectangle: Rounded Corners 18">
            <a:extLst>
              <a:ext uri="{FF2B5EF4-FFF2-40B4-BE49-F238E27FC236}">
                <a16:creationId xmlns:a16="http://schemas.microsoft.com/office/drawing/2014/main" id="{39EA1BD3-9F9B-468B-ABB6-9CEFDA01E44E}"/>
              </a:ext>
            </a:extLst>
          </xdr:cNvPr>
          <xdr:cNvSpPr/>
        </xdr:nvSpPr>
        <xdr:spPr>
          <a:xfrm>
            <a:off x="5159984" y="3643685"/>
            <a:ext cx="3192369" cy="381569"/>
          </a:xfrm>
          <a:prstGeom prst="roundRect">
            <a:avLst>
              <a:gd name="adj" fmla="val 35816"/>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bg1">
                    <a:lumMod val="85000"/>
                  </a:schemeClr>
                </a:solidFill>
                <a:latin typeface="Calibri"/>
                <a:cs typeface="Calibri"/>
              </a:rPr>
              <a:t>Age</a:t>
            </a:r>
            <a:r>
              <a:rPr lang="en-US" sz="1400" b="1" i="0" u="none" strike="noStrike" baseline="0">
                <a:solidFill>
                  <a:schemeClr val="bg1">
                    <a:lumMod val="85000"/>
                  </a:schemeClr>
                </a:solidFill>
                <a:latin typeface="Calibri"/>
                <a:cs typeface="Calibri"/>
              </a:rPr>
              <a:t> Group by Income Bracket</a:t>
            </a:r>
            <a:endParaRPr lang="en-US" sz="1400" b="1" i="0" u="none" strike="noStrike">
              <a:solidFill>
                <a:schemeClr val="bg1">
                  <a:lumMod val="85000"/>
                </a:schemeClr>
              </a:solidFill>
              <a:latin typeface="Calibri"/>
              <a:cs typeface="Calibri"/>
            </a:endParaRPr>
          </a:p>
          <a:p>
            <a:pPr algn="ctr"/>
            <a:endParaRPr lang="en-US" sz="1100" b="1" i="0" u="none" strike="noStrike">
              <a:solidFill>
                <a:schemeClr val="bg1">
                  <a:lumMod val="85000"/>
                </a:schemeClr>
              </a:solidFill>
              <a:latin typeface="Calibri"/>
              <a:cs typeface="Calibri"/>
            </a:endParaRPr>
          </a:p>
          <a:p>
            <a:pPr algn="ctr"/>
            <a:endParaRPr lang="en-US" sz="1100" b="1" i="0" u="none" strike="noStrike">
              <a:solidFill>
                <a:schemeClr val="bg1">
                  <a:lumMod val="85000"/>
                </a:schemeClr>
              </a:solidFill>
              <a:latin typeface="Calibri"/>
              <a:cs typeface="Calibri"/>
            </a:endParaRPr>
          </a:p>
        </xdr:txBody>
      </xdr:sp>
      <xdr:sp macro="" textlink="">
        <xdr:nvSpPr>
          <xdr:cNvPr id="20" name="Rectangle: Rounded Corners 19">
            <a:extLst>
              <a:ext uri="{FF2B5EF4-FFF2-40B4-BE49-F238E27FC236}">
                <a16:creationId xmlns:a16="http://schemas.microsoft.com/office/drawing/2014/main" id="{21C75FCB-48C0-4EA5-8B6F-AA928562D517}"/>
              </a:ext>
            </a:extLst>
          </xdr:cNvPr>
          <xdr:cNvSpPr/>
        </xdr:nvSpPr>
        <xdr:spPr>
          <a:xfrm>
            <a:off x="5190244" y="1563313"/>
            <a:ext cx="3222771" cy="382945"/>
          </a:xfrm>
          <a:prstGeom prst="roundRect">
            <a:avLst>
              <a:gd name="adj" fmla="val 35816"/>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bg1">
                    <a:lumMod val="85000"/>
                  </a:schemeClr>
                </a:solidFill>
                <a:latin typeface="Calibri"/>
                <a:cs typeface="Calibri"/>
              </a:rPr>
              <a:t>Tenure</a:t>
            </a:r>
            <a:r>
              <a:rPr lang="en-US" sz="1400" b="1" i="0" u="none" strike="noStrike" baseline="0">
                <a:solidFill>
                  <a:schemeClr val="bg1">
                    <a:lumMod val="85000"/>
                  </a:schemeClr>
                </a:solidFill>
                <a:latin typeface="Calibri"/>
                <a:cs typeface="Calibri"/>
              </a:rPr>
              <a:t> Distribution By  Customer</a:t>
            </a:r>
            <a:endParaRPr lang="en-US" sz="1400" b="1" i="0" u="none" strike="noStrike">
              <a:solidFill>
                <a:schemeClr val="bg1">
                  <a:lumMod val="85000"/>
                </a:schemeClr>
              </a:solidFill>
              <a:latin typeface="Calibri"/>
              <a:cs typeface="Calibri"/>
            </a:endParaRPr>
          </a:p>
          <a:p>
            <a:pPr algn="ctr"/>
            <a:endParaRPr lang="en-US" sz="1400" b="1" i="0" u="none" strike="noStrike">
              <a:solidFill>
                <a:schemeClr val="bg1">
                  <a:lumMod val="85000"/>
                </a:schemeClr>
              </a:solidFill>
              <a:latin typeface="Calibri"/>
              <a:cs typeface="Calibri"/>
            </a:endParaRPr>
          </a:p>
          <a:p>
            <a:pPr algn="ctr"/>
            <a:endParaRPr lang="en-US" sz="1400" b="1" i="0" u="none" strike="noStrike">
              <a:solidFill>
                <a:schemeClr val="bg1">
                  <a:lumMod val="85000"/>
                </a:schemeClr>
              </a:solidFill>
              <a:latin typeface="Calibri"/>
              <a:cs typeface="Calibri"/>
            </a:endParaRPr>
          </a:p>
        </xdr:txBody>
      </xdr:sp>
      <xdr:graphicFrame macro="">
        <xdr:nvGraphicFramePr>
          <xdr:cNvPr id="24" name="Chart 23">
            <a:extLst>
              <a:ext uri="{FF2B5EF4-FFF2-40B4-BE49-F238E27FC236}">
                <a16:creationId xmlns:a16="http://schemas.microsoft.com/office/drawing/2014/main" id="{A04DA1DD-7A19-4666-AFEF-ED9C2AF63C0C}"/>
              </a:ext>
            </a:extLst>
          </xdr:cNvPr>
          <xdr:cNvGraphicFramePr>
            <a:graphicFrameLocks/>
          </xdr:cNvGraphicFramePr>
        </xdr:nvGraphicFramePr>
        <xdr:xfrm>
          <a:off x="9767975" y="3666658"/>
          <a:ext cx="3988729" cy="244591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5" name="Rectangle: Rounded Corners 24">
            <a:extLst>
              <a:ext uri="{FF2B5EF4-FFF2-40B4-BE49-F238E27FC236}">
                <a16:creationId xmlns:a16="http://schemas.microsoft.com/office/drawing/2014/main" id="{E706769B-23BE-4DB2-9CB3-6CC25C994C48}"/>
              </a:ext>
            </a:extLst>
          </xdr:cNvPr>
          <xdr:cNvSpPr/>
        </xdr:nvSpPr>
        <xdr:spPr>
          <a:xfrm>
            <a:off x="10146955" y="3333504"/>
            <a:ext cx="2829126" cy="327447"/>
          </a:xfrm>
          <a:prstGeom prst="roundRect">
            <a:avLst>
              <a:gd name="adj" fmla="val 50000"/>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bg1">
                    <a:lumMod val="85000"/>
                  </a:schemeClr>
                </a:solidFill>
                <a:latin typeface="Calibri"/>
                <a:cs typeface="Calibri"/>
              </a:rPr>
              <a:t>Most</a:t>
            </a:r>
            <a:r>
              <a:rPr lang="en-US" sz="1400" b="1" i="0" u="none" strike="noStrike" baseline="0">
                <a:solidFill>
                  <a:schemeClr val="bg1">
                    <a:lumMod val="85000"/>
                  </a:schemeClr>
                </a:solidFill>
                <a:latin typeface="Calibri"/>
                <a:cs typeface="Calibri"/>
              </a:rPr>
              <a:t> Loyal Customers</a:t>
            </a:r>
            <a:endParaRPr lang="en-US" sz="1400" b="1" i="0" u="none" strike="noStrike">
              <a:solidFill>
                <a:schemeClr val="bg1">
                  <a:lumMod val="85000"/>
                </a:schemeClr>
              </a:solidFill>
              <a:latin typeface="Calibri"/>
              <a:cs typeface="Calibri"/>
            </a:endParaRPr>
          </a:p>
        </xdr:txBody>
      </xdr:sp>
      <xdr:sp macro="" textlink="'pivot tables'!M2">
        <xdr:nvSpPr>
          <xdr:cNvPr id="26" name="Rectangle: Rounded Corners 25">
            <a:extLst>
              <a:ext uri="{FF2B5EF4-FFF2-40B4-BE49-F238E27FC236}">
                <a16:creationId xmlns:a16="http://schemas.microsoft.com/office/drawing/2014/main" id="{22ABC1AA-3DEF-4369-AAAA-E6779D3F3EDB}"/>
              </a:ext>
            </a:extLst>
          </xdr:cNvPr>
          <xdr:cNvSpPr/>
        </xdr:nvSpPr>
        <xdr:spPr>
          <a:xfrm>
            <a:off x="727391" y="1587265"/>
            <a:ext cx="3096236" cy="327447"/>
          </a:xfrm>
          <a:prstGeom prst="roundRect">
            <a:avLst>
              <a:gd name="adj" fmla="val 35816"/>
            </a:avLst>
          </a:prstGeom>
          <a:noFill/>
          <a:ln>
            <a:solidFill>
              <a:schemeClr val="bg2">
                <a:lumMod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1A671680-5BBF-459E-B396-2A9B1B47D21B}" type="TxLink">
              <a:rPr lang="en-US" sz="1400" b="1" i="0" u="none" strike="noStrike">
                <a:solidFill>
                  <a:schemeClr val="bg1">
                    <a:lumMod val="85000"/>
                  </a:schemeClr>
                </a:solidFill>
                <a:latin typeface="Calibri"/>
                <a:cs typeface="Calibri"/>
              </a:rPr>
              <a:pPr algn="ctr"/>
              <a:t>Avg. income by Customer Segment</a:t>
            </a:fld>
            <a:endParaRPr lang="en-US" sz="2400" b="1">
              <a:solidFill>
                <a:schemeClr val="bg1">
                  <a:lumMod val="85000"/>
                </a:schemeClr>
              </a:solidFill>
            </a:endParaRPr>
          </a:p>
        </xdr:txBody>
      </xdr:sp>
      <xdr:grpSp>
        <xdr:nvGrpSpPr>
          <xdr:cNvPr id="38" name="Group 37">
            <a:extLst>
              <a:ext uri="{FF2B5EF4-FFF2-40B4-BE49-F238E27FC236}">
                <a16:creationId xmlns:a16="http://schemas.microsoft.com/office/drawing/2014/main" id="{9C4E98F8-A73F-49E4-8A5E-2B7C3640BD64}"/>
              </a:ext>
            </a:extLst>
          </xdr:cNvPr>
          <xdr:cNvGrpSpPr/>
        </xdr:nvGrpSpPr>
        <xdr:grpSpPr>
          <a:xfrm>
            <a:off x="605974" y="455947"/>
            <a:ext cx="1811560" cy="647899"/>
            <a:chOff x="2828637" y="461819"/>
            <a:chExt cx="1789545" cy="647409"/>
          </a:xfrm>
        </xdr:grpSpPr>
        <xdr:sp macro="" textlink="KPIs!A3">
          <xdr:nvSpPr>
            <xdr:cNvPr id="9" name="Rectangle: Rounded Corners 8">
              <a:extLst>
                <a:ext uri="{FF2B5EF4-FFF2-40B4-BE49-F238E27FC236}">
                  <a16:creationId xmlns:a16="http://schemas.microsoft.com/office/drawing/2014/main" id="{DA77D5FA-2327-40E1-9003-B3A5505AF31A}"/>
                </a:ext>
              </a:extLst>
            </xdr:cNvPr>
            <xdr:cNvSpPr/>
          </xdr:nvSpPr>
          <xdr:spPr>
            <a:xfrm>
              <a:off x="2828637" y="461819"/>
              <a:ext cx="1789545" cy="625377"/>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AD9DB75-D01C-40C5-8EA9-66C5E5A2B444}" type="TxLink">
                <a:rPr lang="en-US" sz="1400" b="1" i="0" u="none" strike="noStrike">
                  <a:solidFill>
                    <a:schemeClr val="bg1">
                      <a:lumMod val="85000"/>
                    </a:schemeClr>
                  </a:solidFill>
                  <a:latin typeface="Calibri"/>
                  <a:cs typeface="Calibri"/>
                </a:rPr>
                <a:pPr algn="ctr"/>
                <a:t>Total Customer</a:t>
              </a:fld>
              <a:endParaRPr lang="en-US" sz="1400" b="1">
                <a:solidFill>
                  <a:schemeClr val="bg1">
                    <a:lumMod val="85000"/>
                  </a:schemeClr>
                </a:solidFill>
              </a:endParaRPr>
            </a:p>
          </xdr:txBody>
        </xdr:sp>
        <xdr:sp macro="" textlink="KPIs!A4">
          <xdr:nvSpPr>
            <xdr:cNvPr id="14" name="TextBox 13">
              <a:extLst>
                <a:ext uri="{FF2B5EF4-FFF2-40B4-BE49-F238E27FC236}">
                  <a16:creationId xmlns:a16="http://schemas.microsoft.com/office/drawing/2014/main" id="{49A96CD5-54B4-4F68-852E-4C5753D1A789}"/>
                </a:ext>
              </a:extLst>
            </xdr:cNvPr>
            <xdr:cNvSpPr txBox="1"/>
          </xdr:nvSpPr>
          <xdr:spPr>
            <a:xfrm>
              <a:off x="3154224" y="746691"/>
              <a:ext cx="1193030" cy="362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405A9E-1A90-4267-B28B-BA69C9323EDD}" type="TxLink">
                <a:rPr lang="en-US" sz="2000" b="1" i="0" u="none" strike="noStrike">
                  <a:solidFill>
                    <a:schemeClr val="accent6">
                      <a:lumMod val="60000"/>
                      <a:lumOff val="40000"/>
                    </a:schemeClr>
                  </a:solidFill>
                  <a:latin typeface="Calibri"/>
                  <a:cs typeface="Calibri"/>
                </a:rPr>
                <a:pPr algn="ctr"/>
                <a:t>500</a:t>
              </a:fld>
              <a:endParaRPr lang="en-US" sz="2000" b="1">
                <a:solidFill>
                  <a:schemeClr val="accent6">
                    <a:lumMod val="60000"/>
                    <a:lumOff val="40000"/>
                  </a:schemeClr>
                </a:solidFill>
              </a:endParaRPr>
            </a:p>
          </xdr:txBody>
        </xdr:sp>
      </xdr:grpSp>
      <mc:AlternateContent xmlns:mc="http://schemas.openxmlformats.org/markup-compatibility/2006">
        <mc:Choice xmlns:a14="http://schemas.microsoft.com/office/drawing/2010/main" Requires="a14">
          <xdr:graphicFrame macro="">
            <xdr:nvGraphicFramePr>
              <xdr:cNvPr id="27" name="Occupation 1">
                <a:extLst>
                  <a:ext uri="{FF2B5EF4-FFF2-40B4-BE49-F238E27FC236}">
                    <a16:creationId xmlns:a16="http://schemas.microsoft.com/office/drawing/2014/main" id="{B204F074-5B8E-4696-BF97-AA6B07BB0AA3}"/>
                  </a:ext>
                </a:extLst>
              </xdr:cNvPr>
              <xdr:cNvGraphicFramePr/>
            </xdr:nvGraphicFramePr>
            <xdr:xfrm>
              <a:off x="587383" y="1168571"/>
              <a:ext cx="5925362" cy="346688"/>
            </xdr:xfrm>
            <a:graphic>
              <a:graphicData uri="http://schemas.microsoft.com/office/drawing/2010/slicer">
                <sle:slicer xmlns:sle="http://schemas.microsoft.com/office/drawing/2010/slicer" name="Occupation 1"/>
              </a:graphicData>
            </a:graphic>
          </xdr:graphicFrame>
        </mc:Choice>
        <mc:Fallback>
          <xdr:sp macro="" textlink="">
            <xdr:nvSpPr>
              <xdr:cNvPr id="0" name=""/>
              <xdr:cNvSpPr>
                <a:spLocks noTextEdit="1"/>
              </xdr:cNvSpPr>
            </xdr:nvSpPr>
            <xdr:spPr>
              <a:xfrm>
                <a:off x="2524671" y="2029588"/>
                <a:ext cx="5925362" cy="346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37" name="Group 36">
            <a:extLst>
              <a:ext uri="{FF2B5EF4-FFF2-40B4-BE49-F238E27FC236}">
                <a16:creationId xmlns:a16="http://schemas.microsoft.com/office/drawing/2014/main" id="{193DE2A5-F640-416A-9D42-9BF768637C41}"/>
              </a:ext>
            </a:extLst>
          </xdr:cNvPr>
          <xdr:cNvGrpSpPr/>
        </xdr:nvGrpSpPr>
        <xdr:grpSpPr>
          <a:xfrm>
            <a:off x="2568702" y="455949"/>
            <a:ext cx="1773074" cy="693380"/>
            <a:chOff x="4704773" y="442576"/>
            <a:chExt cx="1751060" cy="692727"/>
          </a:xfrm>
        </xdr:grpSpPr>
        <xdr:sp macro="" textlink="KPIs!E3">
          <xdr:nvSpPr>
            <xdr:cNvPr id="29" name="Rectangle: Rounded Corners 28">
              <a:extLst>
                <a:ext uri="{FF2B5EF4-FFF2-40B4-BE49-F238E27FC236}">
                  <a16:creationId xmlns:a16="http://schemas.microsoft.com/office/drawing/2014/main" id="{7A191588-09E0-449E-9B67-96EBBD9E4DC4}"/>
                </a:ext>
              </a:extLst>
            </xdr:cNvPr>
            <xdr:cNvSpPr/>
          </xdr:nvSpPr>
          <xdr:spPr>
            <a:xfrm>
              <a:off x="4704773" y="442576"/>
              <a:ext cx="1751060" cy="654242"/>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18BCC0EC-905C-4A54-856B-89D69F201C21}" type="TxLink">
                <a:rPr lang="en-US" sz="1400" b="1" i="0" u="none" strike="noStrike">
                  <a:solidFill>
                    <a:schemeClr val="bg1">
                      <a:lumMod val="85000"/>
                    </a:schemeClr>
                  </a:solidFill>
                  <a:latin typeface="Calibri"/>
                  <a:cs typeface="Calibri"/>
                </a:rPr>
                <a:pPr algn="ctr"/>
                <a:t>Total Income</a:t>
              </a:fld>
              <a:endParaRPr lang="en-US" sz="1800" b="1">
                <a:solidFill>
                  <a:schemeClr val="bg1">
                    <a:lumMod val="85000"/>
                  </a:schemeClr>
                </a:solidFill>
              </a:endParaRPr>
            </a:p>
          </xdr:txBody>
        </xdr:sp>
        <xdr:sp macro="" textlink="KPIs!E4">
          <xdr:nvSpPr>
            <xdr:cNvPr id="30" name="TextBox 29">
              <a:extLst>
                <a:ext uri="{FF2B5EF4-FFF2-40B4-BE49-F238E27FC236}">
                  <a16:creationId xmlns:a16="http://schemas.microsoft.com/office/drawing/2014/main" id="{84D7811D-77A0-4E80-853E-FC1B676FD4F9}"/>
                </a:ext>
              </a:extLst>
            </xdr:cNvPr>
            <xdr:cNvSpPr txBox="1"/>
          </xdr:nvSpPr>
          <xdr:spPr>
            <a:xfrm>
              <a:off x="4877955" y="731212"/>
              <a:ext cx="1539393" cy="404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1A6052-B17B-493E-8CDA-EC6406E6A674}" type="TxLink">
                <a:rPr lang="en-US" sz="2000" b="1" i="0" u="none" strike="noStrike">
                  <a:solidFill>
                    <a:schemeClr val="accent6">
                      <a:lumMod val="60000"/>
                      <a:lumOff val="40000"/>
                    </a:schemeClr>
                  </a:solidFill>
                  <a:latin typeface="Calibri"/>
                  <a:cs typeface="Calibri"/>
                </a:rPr>
                <a:pPr/>
                <a:t>$57,199,411</a:t>
              </a:fld>
              <a:endParaRPr lang="en-US" sz="4000" b="1">
                <a:solidFill>
                  <a:schemeClr val="accent6">
                    <a:lumMod val="60000"/>
                    <a:lumOff val="40000"/>
                  </a:schemeClr>
                </a:solidFill>
              </a:endParaRPr>
            </a:p>
          </xdr:txBody>
        </xdr:sp>
      </xdr:grpSp>
      <xdr:grpSp>
        <xdr:nvGrpSpPr>
          <xdr:cNvPr id="36" name="Group 35">
            <a:extLst>
              <a:ext uri="{FF2B5EF4-FFF2-40B4-BE49-F238E27FC236}">
                <a16:creationId xmlns:a16="http://schemas.microsoft.com/office/drawing/2014/main" id="{135FBA59-D756-4B52-AB2E-BCA66B8EA21F}"/>
              </a:ext>
            </a:extLst>
          </xdr:cNvPr>
          <xdr:cNvGrpSpPr/>
        </xdr:nvGrpSpPr>
        <xdr:grpSpPr>
          <a:xfrm>
            <a:off x="4624378" y="455948"/>
            <a:ext cx="1657621" cy="664353"/>
            <a:chOff x="6850303" y="452198"/>
            <a:chExt cx="1635606" cy="663863"/>
          </a:xfrm>
        </xdr:grpSpPr>
        <xdr:sp macro="" textlink="KPIs!C3">
          <xdr:nvSpPr>
            <xdr:cNvPr id="33" name="Rectangle: Rounded Corners 32">
              <a:extLst>
                <a:ext uri="{FF2B5EF4-FFF2-40B4-BE49-F238E27FC236}">
                  <a16:creationId xmlns:a16="http://schemas.microsoft.com/office/drawing/2014/main" id="{472E8E05-A90C-4CDC-8AC5-1FD0F700417F}"/>
                </a:ext>
              </a:extLst>
            </xdr:cNvPr>
            <xdr:cNvSpPr/>
          </xdr:nvSpPr>
          <xdr:spPr>
            <a:xfrm>
              <a:off x="6850303" y="452198"/>
              <a:ext cx="1635606" cy="654243"/>
            </a:xfrm>
            <a:prstGeom prst="roundRect">
              <a:avLst>
                <a:gd name="adj" fmla="val 8823"/>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44D2795-49E0-4F22-BC7B-3217C16A8161}" type="TxLink">
                <a:rPr lang="en-US" sz="1400" b="1" i="0" u="none" strike="noStrike">
                  <a:solidFill>
                    <a:schemeClr val="bg1">
                      <a:lumMod val="85000"/>
                    </a:schemeClr>
                  </a:solidFill>
                  <a:latin typeface="Calibri"/>
                  <a:cs typeface="Calibri"/>
                </a:rPr>
                <a:pPr algn="ctr"/>
                <a:t>Average Income</a:t>
              </a:fld>
              <a:endParaRPr lang="en-US" sz="1400" b="1">
                <a:solidFill>
                  <a:schemeClr val="bg1">
                    <a:lumMod val="85000"/>
                  </a:schemeClr>
                </a:solidFill>
              </a:endParaRPr>
            </a:p>
          </xdr:txBody>
        </xdr:sp>
        <xdr:sp macro="" textlink="KPIs!C4">
          <xdr:nvSpPr>
            <xdr:cNvPr id="35" name="TextBox 34">
              <a:extLst>
                <a:ext uri="{FF2B5EF4-FFF2-40B4-BE49-F238E27FC236}">
                  <a16:creationId xmlns:a16="http://schemas.microsoft.com/office/drawing/2014/main" id="{EC6A04DC-9E40-42AA-8660-B2C16E07513F}"/>
                </a:ext>
              </a:extLst>
            </xdr:cNvPr>
            <xdr:cNvSpPr txBox="1"/>
          </xdr:nvSpPr>
          <xdr:spPr>
            <a:xfrm>
              <a:off x="6917651" y="760076"/>
              <a:ext cx="1423940" cy="355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D82C6B9-2F7E-48DB-8EB1-41D3C1C6F72E}" type="TxLink">
                <a:rPr lang="en-US" sz="2000" b="1" i="0" u="none" strike="noStrike">
                  <a:solidFill>
                    <a:schemeClr val="accent6">
                      <a:lumMod val="60000"/>
                      <a:lumOff val="40000"/>
                    </a:schemeClr>
                  </a:solidFill>
                  <a:latin typeface="Calibri"/>
                  <a:cs typeface="Calibri"/>
                </a:rPr>
                <a:pPr algn="ctr"/>
                <a:t>$114,399</a:t>
              </a:fld>
              <a:endParaRPr lang="en-US" sz="2000" b="1">
                <a:solidFill>
                  <a:schemeClr val="accent6">
                    <a:lumMod val="60000"/>
                    <a:lumOff val="40000"/>
                  </a:schemeClr>
                </a:solidFill>
              </a:endParaRPr>
            </a:p>
          </xdr:txBody>
        </xdr:sp>
      </xdr:grpSp>
      <xdr:pic>
        <xdr:nvPicPr>
          <xdr:cNvPr id="41" name="Graphic 40" descr="Bank with solid fill">
            <a:hlinkClick xmlns:r="http://schemas.openxmlformats.org/officeDocument/2006/relationships" r:id="rId6"/>
            <a:extLst>
              <a:ext uri="{FF2B5EF4-FFF2-40B4-BE49-F238E27FC236}">
                <a16:creationId xmlns:a16="http://schemas.microsoft.com/office/drawing/2014/main" id="{0F17B92D-09C5-4F94-BED0-336EB29C41A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9513" y="431642"/>
            <a:ext cx="347097" cy="346058"/>
          </a:xfrm>
          <a:prstGeom prst="rect">
            <a:avLst/>
          </a:prstGeom>
        </xdr:spPr>
      </xdr:pic>
      <xdr:pic>
        <xdr:nvPicPr>
          <xdr:cNvPr id="43" name="Graphic 42" descr="Money with solid fill">
            <a:hlinkClick xmlns:r="http://schemas.openxmlformats.org/officeDocument/2006/relationships" r:id="rId9"/>
            <a:extLst>
              <a:ext uri="{FF2B5EF4-FFF2-40B4-BE49-F238E27FC236}">
                <a16:creationId xmlns:a16="http://schemas.microsoft.com/office/drawing/2014/main" id="{A3B7150B-49FD-40F5-86F1-9689FFA8E9E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46855" y="1626302"/>
            <a:ext cx="384342" cy="382643"/>
          </a:xfrm>
          <a:prstGeom prst="rect">
            <a:avLst/>
          </a:prstGeom>
        </xdr:spPr>
      </xdr:pic>
      <xdr:pic>
        <xdr:nvPicPr>
          <xdr:cNvPr id="55" name="Graphic 54" descr="Bullseye with solid fill">
            <a:extLst>
              <a:ext uri="{FF2B5EF4-FFF2-40B4-BE49-F238E27FC236}">
                <a16:creationId xmlns:a16="http://schemas.microsoft.com/office/drawing/2014/main" id="{4E8E3478-2595-4FB0-8CDE-928BB290203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rot="2876141">
            <a:off x="107627" y="5564321"/>
            <a:ext cx="387457" cy="387457"/>
          </a:xfrm>
          <a:prstGeom prst="rect">
            <a:avLst/>
          </a:prstGeom>
        </xdr:spPr>
      </xdr:pic>
      <xdr:pic>
        <xdr:nvPicPr>
          <xdr:cNvPr id="57" name="Graphic 56" descr="Atom with solid fill">
            <a:hlinkClick xmlns:r="http://schemas.openxmlformats.org/officeDocument/2006/relationships" r:id="rId14"/>
            <a:extLst>
              <a:ext uri="{FF2B5EF4-FFF2-40B4-BE49-F238E27FC236}">
                <a16:creationId xmlns:a16="http://schemas.microsoft.com/office/drawing/2014/main" id="{235BCD82-92C3-4DA2-9FF1-CA3E909E5D36}"/>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86102" y="2905933"/>
            <a:ext cx="419746" cy="419746"/>
          </a:xfrm>
          <a:prstGeom prst="rect">
            <a:avLst/>
          </a:prstGeom>
        </xdr:spPr>
      </xdr:pic>
      <xdr:sp macro="" textlink="">
        <xdr:nvSpPr>
          <xdr:cNvPr id="58" name="TextBox 57">
            <a:extLst>
              <a:ext uri="{FF2B5EF4-FFF2-40B4-BE49-F238E27FC236}">
                <a16:creationId xmlns:a16="http://schemas.microsoft.com/office/drawing/2014/main" id="{983EE033-16AC-4500-A318-4AEE36B6D874}"/>
              </a:ext>
            </a:extLst>
          </xdr:cNvPr>
          <xdr:cNvSpPr txBox="1"/>
        </xdr:nvSpPr>
        <xdr:spPr>
          <a:xfrm>
            <a:off x="32288" y="21526"/>
            <a:ext cx="5004661" cy="387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2800" b="1">
                <a:solidFill>
                  <a:schemeClr val="bg1">
                    <a:lumMod val="85000"/>
                  </a:schemeClr>
                </a:solidFill>
              </a:rPr>
              <a:t>Metro Bank Customer</a:t>
            </a:r>
            <a:r>
              <a:rPr lang="en-US" sz="2800" b="1" baseline="0">
                <a:solidFill>
                  <a:schemeClr val="bg1">
                    <a:lumMod val="85000"/>
                  </a:schemeClr>
                </a:solidFill>
              </a:rPr>
              <a:t> Profile</a:t>
            </a:r>
            <a:endParaRPr lang="en-US" sz="2800" b="1">
              <a:solidFill>
                <a:schemeClr val="bg1">
                  <a:lumMod val="85000"/>
                </a:schemeClr>
              </a:solidFill>
            </a:endParaRPr>
          </a:p>
        </xdr:txBody>
      </xdr:sp>
      <mc:AlternateContent xmlns:mc="http://schemas.openxmlformats.org/markup-compatibility/2006">
        <mc:Choice xmlns:a14="http://schemas.microsoft.com/office/drawing/2010/main" Requires="a14">
          <xdr:graphicFrame macro="">
            <xdr:nvGraphicFramePr>
              <xdr:cNvPr id="59" name="Gender 1">
                <a:extLst>
                  <a:ext uri="{FF2B5EF4-FFF2-40B4-BE49-F238E27FC236}">
                    <a16:creationId xmlns:a16="http://schemas.microsoft.com/office/drawing/2014/main" id="{9645ED6E-B4E6-4A74-ABA9-58712439D373}"/>
                  </a:ext>
                </a:extLst>
              </xdr:cNvPr>
              <xdr:cNvGraphicFramePr/>
            </xdr:nvGraphicFramePr>
            <xdr:xfrm>
              <a:off x="7942882" y="484322"/>
              <a:ext cx="1151609" cy="699575"/>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880170" y="1345339"/>
                <a:ext cx="1151609" cy="699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450850</xdr:colOff>
      <xdr:row>4</xdr:row>
      <xdr:rowOff>1</xdr:rowOff>
    </xdr:from>
    <xdr:to>
      <xdr:col>11</xdr:col>
      <xdr:colOff>488950</xdr:colOff>
      <xdr:row>7</xdr:row>
      <xdr:rowOff>82550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392C33DB-D433-46E5-B600-7228DF5BAF0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651750" y="736601"/>
              <a:ext cx="1924050" cy="634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101913</xdr:colOff>
      <xdr:row>0</xdr:row>
      <xdr:rowOff>172469</xdr:rowOff>
    </xdr:from>
    <xdr:to>
      <xdr:col>5</xdr:col>
      <xdr:colOff>152714</xdr:colOff>
      <xdr:row>12</xdr:row>
      <xdr:rowOff>11210</xdr:rowOff>
    </xdr:to>
    <xdr:graphicFrame macro="">
      <xdr:nvGraphicFramePr>
        <xdr:cNvPr id="3" name="Chart 2">
          <a:extLst>
            <a:ext uri="{FF2B5EF4-FFF2-40B4-BE49-F238E27FC236}">
              <a16:creationId xmlns:a16="http://schemas.microsoft.com/office/drawing/2014/main" id="{397738E8-9FB1-46F6-A8ED-EA3399AD1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451399</xdr:colOff>
      <xdr:row>0</xdr:row>
      <xdr:rowOff>107559</xdr:rowOff>
    </xdr:from>
    <xdr:to>
      <xdr:col>11</xdr:col>
      <xdr:colOff>157418</xdr:colOff>
      <xdr:row>13</xdr:row>
      <xdr:rowOff>101209</xdr:rowOff>
    </xdr:to>
    <xdr:graphicFrame macro="">
      <xdr:nvGraphicFramePr>
        <xdr:cNvPr id="4" name="Chart 3">
          <a:extLst>
            <a:ext uri="{FF2B5EF4-FFF2-40B4-BE49-F238E27FC236}">
              <a16:creationId xmlns:a16="http://schemas.microsoft.com/office/drawing/2014/main" id="{F8485D80-E59A-43D2-9DED-8CD05EFFB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104265</xdr:colOff>
      <xdr:row>13</xdr:row>
      <xdr:rowOff>104187</xdr:rowOff>
    </xdr:from>
    <xdr:to>
      <xdr:col>5</xdr:col>
      <xdr:colOff>110616</xdr:colOff>
      <xdr:row>24</xdr:row>
      <xdr:rowOff>123237</xdr:rowOff>
    </xdr:to>
    <xdr:graphicFrame macro="">
      <xdr:nvGraphicFramePr>
        <xdr:cNvPr id="5" name="Chart 4">
          <a:extLst>
            <a:ext uri="{FF2B5EF4-FFF2-40B4-BE49-F238E27FC236}">
              <a16:creationId xmlns:a16="http://schemas.microsoft.com/office/drawing/2014/main" id="{DDE6A352-B1C3-4BAB-BDA5-EC4529848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250864</xdr:colOff>
      <xdr:row>0</xdr:row>
      <xdr:rowOff>117593</xdr:rowOff>
    </xdr:from>
    <xdr:to>
      <xdr:col>16</xdr:col>
      <xdr:colOff>571656</xdr:colOff>
      <xdr:row>12</xdr:row>
      <xdr:rowOff>154164</xdr:rowOff>
    </xdr:to>
    <xdr:graphicFrame macro="">
      <xdr:nvGraphicFramePr>
        <xdr:cNvPr id="7" name="Chart 6">
          <a:extLst>
            <a:ext uri="{FF2B5EF4-FFF2-40B4-BE49-F238E27FC236}">
              <a16:creationId xmlns:a16="http://schemas.microsoft.com/office/drawing/2014/main" id="{FC51BFF1-BFAE-4DD2-B290-7C314B77A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329259</xdr:colOff>
      <xdr:row>15</xdr:row>
      <xdr:rowOff>1</xdr:rowOff>
    </xdr:from>
    <xdr:to>
      <xdr:col>11</xdr:col>
      <xdr:colOff>316677</xdr:colOff>
      <xdr:row>27</xdr:row>
      <xdr:rowOff>74673</xdr:rowOff>
    </xdr:to>
    <xdr:graphicFrame macro="">
      <xdr:nvGraphicFramePr>
        <xdr:cNvPr id="8" name="Chart 7">
          <a:extLst>
            <a:ext uri="{FF2B5EF4-FFF2-40B4-BE49-F238E27FC236}">
              <a16:creationId xmlns:a16="http://schemas.microsoft.com/office/drawing/2014/main" id="{2AD4678B-B0A4-4CAF-80DE-ED7B637D9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23519</xdr:colOff>
      <xdr:row>14</xdr:row>
      <xdr:rowOff>164630</xdr:rowOff>
    </xdr:from>
    <xdr:to>
      <xdr:col>18</xdr:col>
      <xdr:colOff>274479</xdr:colOff>
      <xdr:row>26</xdr:row>
      <xdr:rowOff>85080</xdr:rowOff>
    </xdr:to>
    <xdr:graphicFrame macro="">
      <xdr:nvGraphicFramePr>
        <xdr:cNvPr id="9" name="Chart 8">
          <a:extLst>
            <a:ext uri="{FF2B5EF4-FFF2-40B4-BE49-F238E27FC236}">
              <a16:creationId xmlns:a16="http://schemas.microsoft.com/office/drawing/2014/main" id="{A6638146-9272-432A-975A-966CD00DC7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285750</xdr:colOff>
      <xdr:row>3</xdr:row>
      <xdr:rowOff>146049</xdr:rowOff>
    </xdr:from>
    <xdr:to>
      <xdr:col>10</xdr:col>
      <xdr:colOff>152400</xdr:colOff>
      <xdr:row>17</xdr:row>
      <xdr:rowOff>114300</xdr:rowOff>
    </xdr:to>
    <xdr:graphicFrame macro="">
      <xdr:nvGraphicFramePr>
        <xdr:cNvPr id="2" name="Chart 1">
          <a:extLst>
            <a:ext uri="{FF2B5EF4-FFF2-40B4-BE49-F238E27FC236}">
              <a16:creationId xmlns:a16="http://schemas.microsoft.com/office/drawing/2014/main" id="{2760CB96-B3D1-40AC-8F0D-74A3F7BEAE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01.598998379632" backgroundQuery="1" createdVersion="7" refreshedVersion="7" minRefreshableVersion="3" recordCount="0" supportSubquery="1" supportAdvancedDrill="1" xr:uid="{4E49E49A-FBD0-40DC-B9F6-04366569947C}">
  <cacheSource type="external" connectionId="2"/>
  <cacheFields count="1">
    <cacheField name="[Measures].[Average of Tenure Year]" caption="Average of Tenure Year" numFmtId="0" hierarchy="40" level="32767"/>
  </cacheFields>
  <cacheHierarchies count="41">
    <cacheHierarchy uniqueName="[Range].[CustomerID]" caption="CustomerID" attribute="1" defaultMemberUniqueName="[Range].[CustomerID].[All]" allUniqueName="[Range].[Customer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Join_Date]" caption="Join_Date" attribute="1" time="1" defaultMemberUniqueName="[Range].[Join_Date].[All]" allUniqueName="[Range].[Join_Date].[All]" dimensionUniqueName="[Range]" displayFolder="" count="0" memberValueDatatype="7" unbalanced="0"/>
    <cacheHierarchy uniqueName="[Range].[Age_group]" caption="Age_group" attribute="1" defaultMemberUniqueName="[Range].[Age_group].[All]" allUniqueName="[Range].[Age_group].[All]" dimensionUniqueName="[Range]" displayFolder="" count="0" memberValueDatatype="130" unbalanced="0"/>
    <cacheHierarchy uniqueName="[Range].[Income Bracket]" caption="Income Bracket" attribute="1" defaultMemberUniqueName="[Range].[Income Bracket].[All]" allUniqueName="[Range].[Income Bracket].[All]" dimensionUniqueName="[Range]" displayFolder="" count="0" memberValueDatatype="130" unbalanced="0"/>
    <cacheHierarchy uniqueName="[Range].[Tenure Year]" caption="Tenure Year" attribute="1" defaultMemberUniqueName="[Range].[Tenure Year].[All]" allUniqueName="[Range].[Tenure Year].[All]" dimensionUniqueName="[Range]" displayFolder="" count="0" memberValueDatatype="20" unbalanced="0"/>
    <cacheHierarchy uniqueName="[Range].[Tenure Band]" caption="Tenure Band" attribute="1" defaultMemberUniqueName="[Range].[Tenure Band].[All]" allUniqueName="[Range].[Tenure Band].[All]" dimensionUniqueName="[Range]" displayFolder="" count="0" memberValueDatatype="130" unbalanced="0"/>
    <cacheHierarchy uniqueName="[Range].[Loyalty Rank]" caption="Loyalty Rank" attribute="1" defaultMemberUniqueName="[Range].[Loyalty Rank].[All]" allUniqueName="[Range].[Loyalty Rank].[All]" dimensionUniqueName="[Range]"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Age_group]" caption="Age_group" attribute="1" defaultMemberUniqueName="[Table1].[Age_group].[All]" allUniqueName="[Table1].[Age_group].[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Tenure Year]" caption="Tenure Year" attribute="1" defaultMemberUniqueName="[Table1].[Tenure Year].[All]" allUniqueName="[Table1].[Tenure Year].[All]" dimensionUniqueName="[Table1]" displayFolder="" count="0" memberValueDatatype="20" unbalanced="0"/>
    <cacheHierarchy uniqueName="[Table1].[Tenure Band]" caption="Tenure Band" attribute="1" defaultMemberUniqueName="[Table1].[Tenure Band].[All]" allUniqueName="[Table1].[Tenure Band].[All]" dimensionUniqueName="[Table1]" displayFolder="" count="0" memberValueDatatype="130" unbalanced="0"/>
    <cacheHierarchy uniqueName="[Table1].[Loyalty Rank]" caption="Loyalty Rank" attribute="1" defaultMemberUniqueName="[Table1].[Loyalty Rank].[All]" allUniqueName="[Table1].[Loyalty Rank].[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0"/>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6"/>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6"/>
        </ext>
      </extLst>
    </cacheHierarchy>
    <cacheHierarchy uniqueName="[Measures].[Count of Customer_Segment]" caption="Count of Customer_Segment" measure="1" displayFolder="" measureGroup="Range" count="0" hidden="1">
      <extLst>
        <ext xmlns:x15="http://schemas.microsoft.com/office/spreadsheetml/2010/11/main" uri="{B97F6D7D-B522-45F9-BDA1-12C45D357490}">
          <x15:cacheHierarchy aggregatedColumn="7"/>
        </ext>
      </extLst>
    </cacheHierarchy>
    <cacheHierarchy uniqueName="[Measures].[Sum of Loyalty Rank]" caption="Sum of Loyalty Rank" measure="1" displayFolder="" measureGroup="Range" count="0" hidden="1">
      <extLst>
        <ext xmlns:x15="http://schemas.microsoft.com/office/spreadsheetml/2010/11/main" uri="{B97F6D7D-B522-45F9-BDA1-12C45D357490}">
          <x15:cacheHierarchy aggregatedColumn="13"/>
        </ext>
      </extLst>
    </cacheHierarchy>
    <cacheHierarchy uniqueName="[Measures].[Count of Loyalty Rank]" caption="Count of Loyalty Rank" measure="1" displayFolder="" measureGroup="Range" count="0" hidden="1">
      <extLst>
        <ext xmlns:x15="http://schemas.microsoft.com/office/spreadsheetml/2010/11/main" uri="{B97F6D7D-B522-45F9-BDA1-12C45D357490}">
          <x15:cacheHierarchy aggregatedColumn="13"/>
        </ext>
      </extLst>
    </cacheHierarchy>
    <cacheHierarchy uniqueName="[Measures].[Sum of Loyalty Rank 2]" caption="Sum of Loyalty Rank 2" measure="1" displayFolder="" measureGroup="Table1" count="0" hidden="1">
      <extLst>
        <ext xmlns:x15="http://schemas.microsoft.com/office/spreadsheetml/2010/11/main" uri="{B97F6D7D-B522-45F9-BDA1-12C45D357490}">
          <x15:cacheHierarchy aggregatedColumn="27"/>
        </ext>
      </extLst>
    </cacheHierarchy>
    <cacheHierarchy uniqueName="[Measures].[Sum of Tenure Year]" caption="Sum of Tenure Year" measure="1" displayFolder="" measureGroup="Table1" count="0" hidden="1">
      <extLst>
        <ext xmlns:x15="http://schemas.microsoft.com/office/spreadsheetml/2010/11/main" uri="{B97F6D7D-B522-45F9-BDA1-12C45D357490}">
          <x15:cacheHierarchy aggregatedColumn="25"/>
        </ext>
      </extLst>
    </cacheHierarchy>
    <cacheHierarchy uniqueName="[Measures].[Max of Tenure Year]" caption="Max of Tenure Year" measure="1" displayFolder="" measureGroup="Table1" count="0" hidden="1">
      <extLst>
        <ext xmlns:x15="http://schemas.microsoft.com/office/spreadsheetml/2010/11/main" uri="{B97F6D7D-B522-45F9-BDA1-12C45D357490}">
          <x15:cacheHierarchy aggregatedColumn="25"/>
        </ext>
      </extLst>
    </cacheHierarchy>
    <cacheHierarchy uniqueName="[Measures].[Average of Tenure Year]" caption="Average of Tenure Year" measure="1" displayFolder="" measureGroup="Table1" count="0" oneField="1" hidden="1">
      <fieldsUsage count="1">
        <fieldUsage x="0"/>
      </fieldsUsage>
      <extLst>
        <ext xmlns:x15="http://schemas.microsoft.com/office/spreadsheetml/2010/11/main" uri="{B97F6D7D-B522-45F9-BDA1-12C45D357490}">
          <x15:cacheHierarchy aggregatedColumn="25"/>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8.081198726853" backgroundQuery="1" createdVersion="7" refreshedVersion="7" minRefreshableVersion="3" recordCount="0" supportSubquery="1" supportAdvancedDrill="1" xr:uid="{E0048EE3-A5E7-4114-B177-6B51BE6CE982}">
  <cacheSource type="external" connectionId="2"/>
  <cacheFields count="3">
    <cacheField name="[Range].[Tenure Band].[Tenure Band]" caption="Tenure Band" numFmtId="0" hierarchy="12" level="1">
      <sharedItems count="4">
        <s v="0-1yr"/>
        <s v="1-3yrs"/>
        <s v="3-5yrs"/>
        <s v="5yrs +"/>
      </sharedItems>
    </cacheField>
    <cacheField name="[Measures].[Count of CustomerID]" caption="Count of CustomerID" numFmtId="0" hierarchy="31" level="32767"/>
    <cacheField name="[Range].[Gender].[Gender]" caption="Gender" numFmtId="0" hierarchy="2" level="1">
      <sharedItems containsSemiMixedTypes="0" containsNonDate="0" containsString="0"/>
    </cacheField>
  </cacheFields>
  <cacheHierarchies count="41">
    <cacheHierarchy uniqueName="[Range].[CustomerID]" caption="CustomerID" attribute="1" defaultMemberUniqueName="[Range].[CustomerID].[All]" allUniqueName="[Range].[Customer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Occupation]" caption="Occupation" attribute="1" defaultMemberUniqueName="[Range].[Occupation].[All]" allUniqueName="[Range].[Occupation].[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Join_Date]" caption="Join_Date" attribute="1" time="1" defaultMemberUniqueName="[Range].[Join_Date].[All]" allUniqueName="[Range].[Join_Date].[All]" dimensionUniqueName="[Range]" displayFolder="" count="0" memberValueDatatype="7" unbalanced="0"/>
    <cacheHierarchy uniqueName="[Range].[Age_group]" caption="Age_group" attribute="1" defaultMemberUniqueName="[Range].[Age_group].[All]" allUniqueName="[Range].[Age_group].[All]" dimensionUniqueName="[Range]" displayFolder="" count="0" memberValueDatatype="130" unbalanced="0"/>
    <cacheHierarchy uniqueName="[Range].[Income Bracket]" caption="Income Bracket" attribute="1" defaultMemberUniqueName="[Range].[Income Bracket].[All]" allUniqueName="[Range].[Income Bracket].[All]" dimensionUniqueName="[Range]" displayFolder="" count="0" memberValueDatatype="130" unbalanced="0"/>
    <cacheHierarchy uniqueName="[Range].[Tenure Year]" caption="Tenure Year" attribute="1" defaultMemberUniqueName="[Range].[Tenure Year].[All]" allUniqueName="[Range].[Tenure Year].[All]" dimensionUniqueName="[Range]" displayFolder="" count="0" memberValueDatatype="20" unbalanced="0"/>
    <cacheHierarchy uniqueName="[Range].[Tenure Band]" caption="Tenure Band" attribute="1" defaultMemberUniqueName="[Range].[Tenure Band].[All]" allUniqueName="[Range].[Tenure Band].[All]" dimensionUniqueName="[Range]" displayFolder="" count="2" memberValueDatatype="130" unbalanced="0">
      <fieldsUsage count="2">
        <fieldUsage x="-1"/>
        <fieldUsage x="0"/>
      </fieldsUsage>
    </cacheHierarchy>
    <cacheHierarchy uniqueName="[Range].[Loyalty Rank]" caption="Loyalty Rank" attribute="1" defaultMemberUniqueName="[Range].[Loyalty Rank].[All]" allUniqueName="[Range].[Loyalty Rank].[All]" dimensionUniqueName="[Range]"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Age_group]" caption="Age_group" attribute="1" defaultMemberUniqueName="[Table1].[Age_group].[All]" allUniqueName="[Table1].[Age_group].[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Tenure Year]" caption="Tenure Year" attribute="1" defaultMemberUniqueName="[Table1].[Tenure Year].[All]" allUniqueName="[Table1].[Tenure Year].[All]" dimensionUniqueName="[Table1]" displayFolder="" count="0" memberValueDatatype="20" unbalanced="0"/>
    <cacheHierarchy uniqueName="[Table1].[Tenure Band]" caption="Tenure Band" attribute="1" defaultMemberUniqueName="[Table1].[Tenure Band].[All]" allUniqueName="[Table1].[Tenure Band].[All]" dimensionUniqueName="[Table1]" displayFolder="" count="0" memberValueDatatype="130" unbalanced="0"/>
    <cacheHierarchy uniqueName="[Table1].[Loyalty Rank]" caption="Loyalty Rank" attribute="1" defaultMemberUniqueName="[Table1].[Loyalty Rank].[All]" allUniqueName="[Table1].[Loyalty Rank].[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ID]" caption="Count of Custom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6"/>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6"/>
        </ext>
      </extLst>
    </cacheHierarchy>
    <cacheHierarchy uniqueName="[Measures].[Count of Customer_Segment]" caption="Count of Customer_Segment" measure="1" displayFolder="" measureGroup="Range" count="0" hidden="1">
      <extLst>
        <ext xmlns:x15="http://schemas.microsoft.com/office/spreadsheetml/2010/11/main" uri="{B97F6D7D-B522-45F9-BDA1-12C45D357490}">
          <x15:cacheHierarchy aggregatedColumn="7"/>
        </ext>
      </extLst>
    </cacheHierarchy>
    <cacheHierarchy uniqueName="[Measures].[Sum of Loyalty Rank]" caption="Sum of Loyalty Rank" measure="1" displayFolder="" measureGroup="Range" count="0" hidden="1">
      <extLst>
        <ext xmlns:x15="http://schemas.microsoft.com/office/spreadsheetml/2010/11/main" uri="{B97F6D7D-B522-45F9-BDA1-12C45D357490}">
          <x15:cacheHierarchy aggregatedColumn="13"/>
        </ext>
      </extLst>
    </cacheHierarchy>
    <cacheHierarchy uniqueName="[Measures].[Count of Loyalty Rank]" caption="Count of Loyalty Rank" measure="1" displayFolder="" measureGroup="Range" count="0" hidden="1">
      <extLst>
        <ext xmlns:x15="http://schemas.microsoft.com/office/spreadsheetml/2010/11/main" uri="{B97F6D7D-B522-45F9-BDA1-12C45D357490}">
          <x15:cacheHierarchy aggregatedColumn="13"/>
        </ext>
      </extLst>
    </cacheHierarchy>
    <cacheHierarchy uniqueName="[Measures].[Sum of Loyalty Rank 2]" caption="Sum of Loyalty Rank 2" measure="1" displayFolder="" measureGroup="Table1" count="0" hidden="1">
      <extLst>
        <ext xmlns:x15="http://schemas.microsoft.com/office/spreadsheetml/2010/11/main" uri="{B97F6D7D-B522-45F9-BDA1-12C45D357490}">
          <x15:cacheHierarchy aggregatedColumn="27"/>
        </ext>
      </extLst>
    </cacheHierarchy>
    <cacheHierarchy uniqueName="[Measures].[Sum of Tenure Year]" caption="Sum of Tenure Year" measure="1" displayFolder="" measureGroup="Table1" count="0" hidden="1">
      <extLst>
        <ext xmlns:x15="http://schemas.microsoft.com/office/spreadsheetml/2010/11/main" uri="{B97F6D7D-B522-45F9-BDA1-12C45D357490}">
          <x15:cacheHierarchy aggregatedColumn="25"/>
        </ext>
      </extLst>
    </cacheHierarchy>
    <cacheHierarchy uniqueName="[Measures].[Max of Tenure Year]" caption="Max of Tenure Year" measure="1" displayFolder="" measureGroup="Table1" count="0" hidden="1">
      <extLst>
        <ext xmlns:x15="http://schemas.microsoft.com/office/spreadsheetml/2010/11/main" uri="{B97F6D7D-B522-45F9-BDA1-12C45D357490}">
          <x15:cacheHierarchy aggregatedColumn="25"/>
        </ext>
      </extLst>
    </cacheHierarchy>
    <cacheHierarchy uniqueName="[Measures].[Average of Tenure Year]" caption="Average of Tenure Year" measure="1" displayFolder="" measureGroup="Table1" count="0" hidden="1">
      <extLst>
        <ext xmlns:x15="http://schemas.microsoft.com/office/spreadsheetml/2010/11/main" uri="{B97F6D7D-B522-45F9-BDA1-12C45D357490}">
          <x15:cacheHierarchy aggregatedColumn="25"/>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8.081200925924" backgroundQuery="1" createdVersion="7" refreshedVersion="7" minRefreshableVersion="3" recordCount="0" supportSubquery="1" supportAdvancedDrill="1" xr:uid="{7BB5A148-298D-4F68-8C9B-59B459B95267}">
  <cacheSource type="external" connectionId="2"/>
  <cacheFields count="2">
    <cacheField name="[Measures].[Count of CustomerID]" caption="Count of CustomerID" numFmtId="0" hierarchy="31" level="32767"/>
    <cacheField name="[Range].[Gender].[Gender]" caption="Gender" numFmtId="0" hierarchy="2" level="1">
      <sharedItems containsSemiMixedTypes="0" containsNonDate="0" containsString="0"/>
    </cacheField>
  </cacheFields>
  <cacheHierarchies count="41">
    <cacheHierarchy uniqueName="[Range].[CustomerID]" caption="CustomerID" attribute="1" defaultMemberUniqueName="[Range].[CustomerID].[All]" allUniqueName="[Range].[Customer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Occupation]" caption="Occupation" attribute="1" defaultMemberUniqueName="[Range].[Occupation].[All]" allUniqueName="[Range].[Occupation].[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Join_Date]" caption="Join_Date" attribute="1" time="1" defaultMemberUniqueName="[Range].[Join_Date].[All]" allUniqueName="[Range].[Join_Date].[All]" dimensionUniqueName="[Range]" displayFolder="" count="0" memberValueDatatype="7" unbalanced="0"/>
    <cacheHierarchy uniqueName="[Range].[Age_group]" caption="Age_group" attribute="1" defaultMemberUniqueName="[Range].[Age_group].[All]" allUniqueName="[Range].[Age_group].[All]" dimensionUniqueName="[Range]" displayFolder="" count="0" memberValueDatatype="130" unbalanced="0"/>
    <cacheHierarchy uniqueName="[Range].[Income Bracket]" caption="Income Bracket" attribute="1" defaultMemberUniqueName="[Range].[Income Bracket].[All]" allUniqueName="[Range].[Income Bracket].[All]" dimensionUniqueName="[Range]" displayFolder="" count="0" memberValueDatatype="130" unbalanced="0"/>
    <cacheHierarchy uniqueName="[Range].[Tenure Year]" caption="Tenure Year" attribute="1" defaultMemberUniqueName="[Range].[Tenure Year].[All]" allUniqueName="[Range].[Tenure Year].[All]" dimensionUniqueName="[Range]" displayFolder="" count="0" memberValueDatatype="20" unbalanced="0"/>
    <cacheHierarchy uniqueName="[Range].[Tenure Band]" caption="Tenure Band" attribute="1" defaultMemberUniqueName="[Range].[Tenure Band].[All]" allUniqueName="[Range].[Tenure Band].[All]" dimensionUniqueName="[Range]" displayFolder="" count="0" memberValueDatatype="130" unbalanced="0"/>
    <cacheHierarchy uniqueName="[Range].[Loyalty Rank]" caption="Loyalty Rank" attribute="1" defaultMemberUniqueName="[Range].[Loyalty Rank].[All]" allUniqueName="[Range].[Loyalty Rank].[All]" dimensionUniqueName="[Range]"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Age_group]" caption="Age_group" attribute="1" defaultMemberUniqueName="[Table1].[Age_group].[All]" allUniqueName="[Table1].[Age_group].[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Tenure Year]" caption="Tenure Year" attribute="1" defaultMemberUniqueName="[Table1].[Tenure Year].[All]" allUniqueName="[Table1].[Tenure Year].[All]" dimensionUniqueName="[Table1]" displayFolder="" count="0" memberValueDatatype="20" unbalanced="0"/>
    <cacheHierarchy uniqueName="[Table1].[Tenure Band]" caption="Tenure Band" attribute="1" defaultMemberUniqueName="[Table1].[Tenure Band].[All]" allUniqueName="[Table1].[Tenure Band].[All]" dimensionUniqueName="[Table1]" displayFolder="" count="0" memberValueDatatype="130" unbalanced="0"/>
    <cacheHierarchy uniqueName="[Table1].[Loyalty Rank]" caption="Loyalty Rank" attribute="1" defaultMemberUniqueName="[Table1].[Loyalty Rank].[All]" allUniqueName="[Table1].[Loyalty Rank].[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ID]" caption="Count of Custom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6"/>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6"/>
        </ext>
      </extLst>
    </cacheHierarchy>
    <cacheHierarchy uniqueName="[Measures].[Count of Customer_Segment]" caption="Count of Customer_Segment" measure="1" displayFolder="" measureGroup="Range" count="0" hidden="1">
      <extLst>
        <ext xmlns:x15="http://schemas.microsoft.com/office/spreadsheetml/2010/11/main" uri="{B97F6D7D-B522-45F9-BDA1-12C45D357490}">
          <x15:cacheHierarchy aggregatedColumn="7"/>
        </ext>
      </extLst>
    </cacheHierarchy>
    <cacheHierarchy uniqueName="[Measures].[Sum of Loyalty Rank]" caption="Sum of Loyalty Rank" measure="1" displayFolder="" measureGroup="Range" count="0" hidden="1">
      <extLst>
        <ext xmlns:x15="http://schemas.microsoft.com/office/spreadsheetml/2010/11/main" uri="{B97F6D7D-B522-45F9-BDA1-12C45D357490}">
          <x15:cacheHierarchy aggregatedColumn="13"/>
        </ext>
      </extLst>
    </cacheHierarchy>
    <cacheHierarchy uniqueName="[Measures].[Count of Loyalty Rank]" caption="Count of Loyalty Rank" measure="1" displayFolder="" measureGroup="Range" count="0" hidden="1">
      <extLst>
        <ext xmlns:x15="http://schemas.microsoft.com/office/spreadsheetml/2010/11/main" uri="{B97F6D7D-B522-45F9-BDA1-12C45D357490}">
          <x15:cacheHierarchy aggregatedColumn="13"/>
        </ext>
      </extLst>
    </cacheHierarchy>
    <cacheHierarchy uniqueName="[Measures].[Sum of Loyalty Rank 2]" caption="Sum of Loyalty Rank 2" measure="1" displayFolder="" measureGroup="Table1" count="0" hidden="1">
      <extLst>
        <ext xmlns:x15="http://schemas.microsoft.com/office/spreadsheetml/2010/11/main" uri="{B97F6D7D-B522-45F9-BDA1-12C45D357490}">
          <x15:cacheHierarchy aggregatedColumn="27"/>
        </ext>
      </extLst>
    </cacheHierarchy>
    <cacheHierarchy uniqueName="[Measures].[Sum of Tenure Year]" caption="Sum of Tenure Year" measure="1" displayFolder="" measureGroup="Table1" count="0" hidden="1">
      <extLst>
        <ext xmlns:x15="http://schemas.microsoft.com/office/spreadsheetml/2010/11/main" uri="{B97F6D7D-B522-45F9-BDA1-12C45D357490}">
          <x15:cacheHierarchy aggregatedColumn="25"/>
        </ext>
      </extLst>
    </cacheHierarchy>
    <cacheHierarchy uniqueName="[Measures].[Max of Tenure Year]" caption="Max of Tenure Year" measure="1" displayFolder="" measureGroup="Table1" count="0" hidden="1">
      <extLst>
        <ext xmlns:x15="http://schemas.microsoft.com/office/spreadsheetml/2010/11/main" uri="{B97F6D7D-B522-45F9-BDA1-12C45D357490}">
          <x15:cacheHierarchy aggregatedColumn="25"/>
        </ext>
      </extLst>
    </cacheHierarchy>
    <cacheHierarchy uniqueName="[Measures].[Average of Tenure Year]" caption="Average of Tenure Year" measure="1" displayFolder="" measureGroup="Table1" count="0" hidden="1">
      <extLst>
        <ext xmlns:x15="http://schemas.microsoft.com/office/spreadsheetml/2010/11/main" uri="{B97F6D7D-B522-45F9-BDA1-12C45D357490}">
          <x15:cacheHierarchy aggregatedColumn="25"/>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8.081203587964" backgroundQuery="1" createdVersion="7" refreshedVersion="7" minRefreshableVersion="3" recordCount="0" supportSubquery="1" supportAdvancedDrill="1" xr:uid="{5BFA45C6-B8CB-4A31-8377-83981FFE431D}">
  <cacheSource type="external" connectionId="2"/>
  <cacheFields count="2">
    <cacheField name="[Measures].[Average of Income]" caption="Average of Income" numFmtId="0" hierarchy="33" level="32767"/>
    <cacheField name="[Range].[Gender].[Gender]" caption="Gender" numFmtId="0" hierarchy="2" level="1">
      <sharedItems containsSemiMixedTypes="0" containsNonDate="0" containsString="0"/>
    </cacheField>
  </cacheFields>
  <cacheHierarchies count="41">
    <cacheHierarchy uniqueName="[Range].[CustomerID]" caption="CustomerID" attribute="1" defaultMemberUniqueName="[Range].[CustomerID].[All]" allUniqueName="[Range].[Customer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Occupation]" caption="Occupation" attribute="1" defaultMemberUniqueName="[Range].[Occupation].[All]" allUniqueName="[Range].[Occupation].[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Join_Date]" caption="Join_Date" attribute="1" time="1" defaultMemberUniqueName="[Range].[Join_Date].[All]" allUniqueName="[Range].[Join_Date].[All]" dimensionUniqueName="[Range]" displayFolder="" count="0" memberValueDatatype="7" unbalanced="0"/>
    <cacheHierarchy uniqueName="[Range].[Age_group]" caption="Age_group" attribute="1" defaultMemberUniqueName="[Range].[Age_group].[All]" allUniqueName="[Range].[Age_group].[All]" dimensionUniqueName="[Range]" displayFolder="" count="0" memberValueDatatype="130" unbalanced="0"/>
    <cacheHierarchy uniqueName="[Range].[Income Bracket]" caption="Income Bracket" attribute="1" defaultMemberUniqueName="[Range].[Income Bracket].[All]" allUniqueName="[Range].[Income Bracket].[All]" dimensionUniqueName="[Range]" displayFolder="" count="0" memberValueDatatype="130" unbalanced="0"/>
    <cacheHierarchy uniqueName="[Range].[Tenure Year]" caption="Tenure Year" attribute="1" defaultMemberUniqueName="[Range].[Tenure Year].[All]" allUniqueName="[Range].[Tenure Year].[All]" dimensionUniqueName="[Range]" displayFolder="" count="0" memberValueDatatype="20" unbalanced="0"/>
    <cacheHierarchy uniqueName="[Range].[Tenure Band]" caption="Tenure Band" attribute="1" defaultMemberUniqueName="[Range].[Tenure Band].[All]" allUniqueName="[Range].[Tenure Band].[All]" dimensionUniqueName="[Range]" displayFolder="" count="0" memberValueDatatype="130" unbalanced="0"/>
    <cacheHierarchy uniqueName="[Range].[Loyalty Rank]" caption="Loyalty Rank" attribute="1" defaultMemberUniqueName="[Range].[Loyalty Rank].[All]" allUniqueName="[Range].[Loyalty Rank].[All]" dimensionUniqueName="[Range]"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Age_group]" caption="Age_group" attribute="1" defaultMemberUniqueName="[Table1].[Age_group].[All]" allUniqueName="[Table1].[Age_group].[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Tenure Year]" caption="Tenure Year" attribute="1" defaultMemberUniqueName="[Table1].[Tenure Year].[All]" allUniqueName="[Table1].[Tenure Year].[All]" dimensionUniqueName="[Table1]" displayFolder="" count="0" memberValueDatatype="20" unbalanced="0"/>
    <cacheHierarchy uniqueName="[Table1].[Tenure Band]" caption="Tenure Band" attribute="1" defaultMemberUniqueName="[Table1].[Tenure Band].[All]" allUniqueName="[Table1].[Tenure Band].[All]" dimensionUniqueName="[Table1]" displayFolder="" count="0" memberValueDatatype="130" unbalanced="0"/>
    <cacheHierarchy uniqueName="[Table1].[Loyalty Rank]" caption="Loyalty Rank" attribute="1" defaultMemberUniqueName="[Table1].[Loyalty Rank].[All]" allUniqueName="[Table1].[Loyalty Rank].[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0"/>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6"/>
        </ext>
      </extLst>
    </cacheHierarchy>
    <cacheHierarchy uniqueName="[Measures].[Average of Income]" caption="Average of Income"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Customer_Segment]" caption="Count of Customer_Segment" measure="1" displayFolder="" measureGroup="Range" count="0" hidden="1">
      <extLst>
        <ext xmlns:x15="http://schemas.microsoft.com/office/spreadsheetml/2010/11/main" uri="{B97F6D7D-B522-45F9-BDA1-12C45D357490}">
          <x15:cacheHierarchy aggregatedColumn="7"/>
        </ext>
      </extLst>
    </cacheHierarchy>
    <cacheHierarchy uniqueName="[Measures].[Sum of Loyalty Rank]" caption="Sum of Loyalty Rank" measure="1" displayFolder="" measureGroup="Range" count="0" hidden="1">
      <extLst>
        <ext xmlns:x15="http://schemas.microsoft.com/office/spreadsheetml/2010/11/main" uri="{B97F6D7D-B522-45F9-BDA1-12C45D357490}">
          <x15:cacheHierarchy aggregatedColumn="13"/>
        </ext>
      </extLst>
    </cacheHierarchy>
    <cacheHierarchy uniqueName="[Measures].[Count of Loyalty Rank]" caption="Count of Loyalty Rank" measure="1" displayFolder="" measureGroup="Range" count="0" hidden="1">
      <extLst>
        <ext xmlns:x15="http://schemas.microsoft.com/office/spreadsheetml/2010/11/main" uri="{B97F6D7D-B522-45F9-BDA1-12C45D357490}">
          <x15:cacheHierarchy aggregatedColumn="13"/>
        </ext>
      </extLst>
    </cacheHierarchy>
    <cacheHierarchy uniqueName="[Measures].[Sum of Loyalty Rank 2]" caption="Sum of Loyalty Rank 2" measure="1" displayFolder="" measureGroup="Table1" count="0" hidden="1">
      <extLst>
        <ext xmlns:x15="http://schemas.microsoft.com/office/spreadsheetml/2010/11/main" uri="{B97F6D7D-B522-45F9-BDA1-12C45D357490}">
          <x15:cacheHierarchy aggregatedColumn="27"/>
        </ext>
      </extLst>
    </cacheHierarchy>
    <cacheHierarchy uniqueName="[Measures].[Sum of Tenure Year]" caption="Sum of Tenure Year" measure="1" displayFolder="" measureGroup="Table1" count="0" hidden="1">
      <extLst>
        <ext xmlns:x15="http://schemas.microsoft.com/office/spreadsheetml/2010/11/main" uri="{B97F6D7D-B522-45F9-BDA1-12C45D357490}">
          <x15:cacheHierarchy aggregatedColumn="25"/>
        </ext>
      </extLst>
    </cacheHierarchy>
    <cacheHierarchy uniqueName="[Measures].[Max of Tenure Year]" caption="Max of Tenure Year" measure="1" displayFolder="" measureGroup="Table1" count="0" hidden="1">
      <extLst>
        <ext xmlns:x15="http://schemas.microsoft.com/office/spreadsheetml/2010/11/main" uri="{B97F6D7D-B522-45F9-BDA1-12C45D357490}">
          <x15:cacheHierarchy aggregatedColumn="25"/>
        </ext>
      </extLst>
    </cacheHierarchy>
    <cacheHierarchy uniqueName="[Measures].[Average of Tenure Year]" caption="Average of Tenure Year" measure="1" displayFolder="" measureGroup="Table1" count="0" hidden="1">
      <extLst>
        <ext xmlns:x15="http://schemas.microsoft.com/office/spreadsheetml/2010/11/main" uri="{B97F6D7D-B522-45F9-BDA1-12C45D357490}">
          <x15:cacheHierarchy aggregatedColumn="25"/>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8.08120601852" backgroundQuery="1" createdVersion="7" refreshedVersion="7" minRefreshableVersion="3" recordCount="0" supportSubquery="1" supportAdvancedDrill="1" xr:uid="{A865C243-5728-40DA-9928-8039AB2416A9}">
  <cacheSource type="external" connectionId="2"/>
  <cacheFields count="2">
    <cacheField name="[Measures].[Sum of Income]" caption="Sum of Income" numFmtId="0" hierarchy="32" level="32767"/>
    <cacheField name="[Range].[Gender].[Gender]" caption="Gender" numFmtId="0" hierarchy="2" level="1">
      <sharedItems containsSemiMixedTypes="0" containsNonDate="0" containsString="0"/>
    </cacheField>
  </cacheFields>
  <cacheHierarchies count="41">
    <cacheHierarchy uniqueName="[Range].[CustomerID]" caption="CustomerID" attribute="1" defaultMemberUniqueName="[Range].[CustomerID].[All]" allUniqueName="[Range].[Customer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Occupation]" caption="Occupation" attribute="1" defaultMemberUniqueName="[Range].[Occupation].[All]" allUniqueName="[Range].[Occupation].[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Join_Date]" caption="Join_Date" attribute="1" time="1" defaultMemberUniqueName="[Range].[Join_Date].[All]" allUniqueName="[Range].[Join_Date].[All]" dimensionUniqueName="[Range]" displayFolder="" count="0" memberValueDatatype="7" unbalanced="0"/>
    <cacheHierarchy uniqueName="[Range].[Age_group]" caption="Age_group" attribute="1" defaultMemberUniqueName="[Range].[Age_group].[All]" allUniqueName="[Range].[Age_group].[All]" dimensionUniqueName="[Range]" displayFolder="" count="0" memberValueDatatype="130" unbalanced="0"/>
    <cacheHierarchy uniqueName="[Range].[Income Bracket]" caption="Income Bracket" attribute="1" defaultMemberUniqueName="[Range].[Income Bracket].[All]" allUniqueName="[Range].[Income Bracket].[All]" dimensionUniqueName="[Range]" displayFolder="" count="0" memberValueDatatype="130" unbalanced="0"/>
    <cacheHierarchy uniqueName="[Range].[Tenure Year]" caption="Tenure Year" attribute="1" defaultMemberUniqueName="[Range].[Tenure Year].[All]" allUniqueName="[Range].[Tenure Year].[All]" dimensionUniqueName="[Range]" displayFolder="" count="0" memberValueDatatype="20" unbalanced="0"/>
    <cacheHierarchy uniqueName="[Range].[Tenure Band]" caption="Tenure Band" attribute="1" defaultMemberUniqueName="[Range].[Tenure Band].[All]" allUniqueName="[Range].[Tenure Band].[All]" dimensionUniqueName="[Range]" displayFolder="" count="0" memberValueDatatype="130" unbalanced="0"/>
    <cacheHierarchy uniqueName="[Range].[Loyalty Rank]" caption="Loyalty Rank" attribute="1" defaultMemberUniqueName="[Range].[Loyalty Rank].[All]" allUniqueName="[Range].[Loyalty Rank].[All]" dimensionUniqueName="[Range]"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Age_group]" caption="Age_group" attribute="1" defaultMemberUniqueName="[Table1].[Age_group].[All]" allUniqueName="[Table1].[Age_group].[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Tenure Year]" caption="Tenure Year" attribute="1" defaultMemberUniqueName="[Table1].[Tenure Year].[All]" allUniqueName="[Table1].[Tenure Year].[All]" dimensionUniqueName="[Table1]" displayFolder="" count="0" memberValueDatatype="20" unbalanced="0"/>
    <cacheHierarchy uniqueName="[Table1].[Tenure Band]" caption="Tenure Band" attribute="1" defaultMemberUniqueName="[Table1].[Tenure Band].[All]" allUniqueName="[Table1].[Tenure Band].[All]" dimensionUniqueName="[Table1]" displayFolder="" count="0" memberValueDatatype="130" unbalanced="0"/>
    <cacheHierarchy uniqueName="[Table1].[Loyalty Rank]" caption="Loyalty Rank" attribute="1" defaultMemberUniqueName="[Table1].[Loyalty Rank].[All]" allUniqueName="[Table1].[Loyalty Rank].[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0"/>
        </ext>
      </extLst>
    </cacheHierarchy>
    <cacheHierarchy uniqueName="[Measures].[Sum of Income]" caption="Sum of Income"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6"/>
        </ext>
      </extLst>
    </cacheHierarchy>
    <cacheHierarchy uniqueName="[Measures].[Count of Customer_Segment]" caption="Count of Customer_Segment" measure="1" displayFolder="" measureGroup="Range" count="0" hidden="1">
      <extLst>
        <ext xmlns:x15="http://schemas.microsoft.com/office/spreadsheetml/2010/11/main" uri="{B97F6D7D-B522-45F9-BDA1-12C45D357490}">
          <x15:cacheHierarchy aggregatedColumn="7"/>
        </ext>
      </extLst>
    </cacheHierarchy>
    <cacheHierarchy uniqueName="[Measures].[Sum of Loyalty Rank]" caption="Sum of Loyalty Rank" measure="1" displayFolder="" measureGroup="Range" count="0" hidden="1">
      <extLst>
        <ext xmlns:x15="http://schemas.microsoft.com/office/spreadsheetml/2010/11/main" uri="{B97F6D7D-B522-45F9-BDA1-12C45D357490}">
          <x15:cacheHierarchy aggregatedColumn="13"/>
        </ext>
      </extLst>
    </cacheHierarchy>
    <cacheHierarchy uniqueName="[Measures].[Count of Loyalty Rank]" caption="Count of Loyalty Rank" measure="1" displayFolder="" measureGroup="Range" count="0" hidden="1">
      <extLst>
        <ext xmlns:x15="http://schemas.microsoft.com/office/spreadsheetml/2010/11/main" uri="{B97F6D7D-B522-45F9-BDA1-12C45D357490}">
          <x15:cacheHierarchy aggregatedColumn="13"/>
        </ext>
      </extLst>
    </cacheHierarchy>
    <cacheHierarchy uniqueName="[Measures].[Sum of Loyalty Rank 2]" caption="Sum of Loyalty Rank 2" measure="1" displayFolder="" measureGroup="Table1" count="0" hidden="1">
      <extLst>
        <ext xmlns:x15="http://schemas.microsoft.com/office/spreadsheetml/2010/11/main" uri="{B97F6D7D-B522-45F9-BDA1-12C45D357490}">
          <x15:cacheHierarchy aggregatedColumn="27"/>
        </ext>
      </extLst>
    </cacheHierarchy>
    <cacheHierarchy uniqueName="[Measures].[Sum of Tenure Year]" caption="Sum of Tenure Year" measure="1" displayFolder="" measureGroup="Table1" count="0" hidden="1">
      <extLst>
        <ext xmlns:x15="http://schemas.microsoft.com/office/spreadsheetml/2010/11/main" uri="{B97F6D7D-B522-45F9-BDA1-12C45D357490}">
          <x15:cacheHierarchy aggregatedColumn="25"/>
        </ext>
      </extLst>
    </cacheHierarchy>
    <cacheHierarchy uniqueName="[Measures].[Max of Tenure Year]" caption="Max of Tenure Year" measure="1" displayFolder="" measureGroup="Table1" count="0" hidden="1">
      <extLst>
        <ext xmlns:x15="http://schemas.microsoft.com/office/spreadsheetml/2010/11/main" uri="{B97F6D7D-B522-45F9-BDA1-12C45D357490}">
          <x15:cacheHierarchy aggregatedColumn="25"/>
        </ext>
      </extLst>
    </cacheHierarchy>
    <cacheHierarchy uniqueName="[Measures].[Average of Tenure Year]" caption="Average of Tenure Year" measure="1" displayFolder="" measureGroup="Table1" count="0" hidden="1">
      <extLst>
        <ext xmlns:x15="http://schemas.microsoft.com/office/spreadsheetml/2010/11/main" uri="{B97F6D7D-B522-45F9-BDA1-12C45D357490}">
          <x15:cacheHierarchy aggregatedColumn="25"/>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8.081208449075" backgroundQuery="1" createdVersion="7" refreshedVersion="7" minRefreshableVersion="3" recordCount="0" supportSubquery="1" supportAdvancedDrill="1" xr:uid="{018E0EF0-93C8-48A1-A7DA-40E22231F8D2}">
  <cacheSource type="external" connectionId="2"/>
  <cacheFields count="3">
    <cacheField name="[Measures].[Count of CustomerID]" caption="Count of CustomerID" numFmtId="0" hierarchy="31" level="32767"/>
    <cacheField name="[Range].[Gender].[Gender]" caption="Gender" numFmtId="0" hierarchy="2" level="1">
      <sharedItems count="2">
        <s v="Female"/>
        <s v="Male"/>
      </sharedItems>
    </cacheField>
    <cacheField name="[Range].[Region].[Region]" caption="Region" numFmtId="0" hierarchy="4" level="1">
      <sharedItems count="4">
        <s v="East"/>
        <s v="North"/>
        <s v="South"/>
        <s v="West"/>
      </sharedItems>
    </cacheField>
  </cacheFields>
  <cacheHierarchies count="41">
    <cacheHierarchy uniqueName="[Range].[CustomerID]" caption="CustomerID" attribute="1" defaultMemberUniqueName="[Range].[CustomerID].[All]" allUniqueName="[Range].[Customer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1"/>
      </fieldsUsage>
    </cacheHierarchy>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Occupation]" caption="Occupation" attribute="1" defaultMemberUniqueName="[Range].[Occupation].[All]" allUniqueName="[Range].[Occupation].[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Join_Date]" caption="Join_Date" attribute="1" time="1" defaultMemberUniqueName="[Range].[Join_Date].[All]" allUniqueName="[Range].[Join_Date].[All]" dimensionUniqueName="[Range]" displayFolder="" count="0" memberValueDatatype="7" unbalanced="0"/>
    <cacheHierarchy uniqueName="[Range].[Age_group]" caption="Age_group" attribute="1" defaultMemberUniqueName="[Range].[Age_group].[All]" allUniqueName="[Range].[Age_group].[All]" dimensionUniqueName="[Range]" displayFolder="" count="0" memberValueDatatype="130" unbalanced="0"/>
    <cacheHierarchy uniqueName="[Range].[Income Bracket]" caption="Income Bracket" attribute="1" defaultMemberUniqueName="[Range].[Income Bracket].[All]" allUniqueName="[Range].[Income Bracket].[All]" dimensionUniqueName="[Range]" displayFolder="" count="0" memberValueDatatype="130" unbalanced="0"/>
    <cacheHierarchy uniqueName="[Range].[Tenure Year]" caption="Tenure Year" attribute="1" defaultMemberUniqueName="[Range].[Tenure Year].[All]" allUniqueName="[Range].[Tenure Year].[All]" dimensionUniqueName="[Range]" displayFolder="" count="0" memberValueDatatype="20" unbalanced="0"/>
    <cacheHierarchy uniqueName="[Range].[Tenure Band]" caption="Tenure Band" attribute="1" defaultMemberUniqueName="[Range].[Tenure Band].[All]" allUniqueName="[Range].[Tenure Band].[All]" dimensionUniqueName="[Range]" displayFolder="" count="0" memberValueDatatype="130" unbalanced="0"/>
    <cacheHierarchy uniqueName="[Range].[Loyalty Rank]" caption="Loyalty Rank" attribute="1" defaultMemberUniqueName="[Range].[Loyalty Rank].[All]" allUniqueName="[Range].[Loyalty Rank].[All]" dimensionUniqueName="[Range]"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Age_group]" caption="Age_group" attribute="1" defaultMemberUniqueName="[Table1].[Age_group].[All]" allUniqueName="[Table1].[Age_group].[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Tenure Year]" caption="Tenure Year" attribute="1" defaultMemberUniqueName="[Table1].[Tenure Year].[All]" allUniqueName="[Table1].[Tenure Year].[All]" dimensionUniqueName="[Table1]" displayFolder="" count="0" memberValueDatatype="20" unbalanced="0"/>
    <cacheHierarchy uniqueName="[Table1].[Tenure Band]" caption="Tenure Band" attribute="1" defaultMemberUniqueName="[Table1].[Tenure Band].[All]" allUniqueName="[Table1].[Tenure Band].[All]" dimensionUniqueName="[Table1]" displayFolder="" count="0" memberValueDatatype="130" unbalanced="0"/>
    <cacheHierarchy uniqueName="[Table1].[Loyalty Rank]" caption="Loyalty Rank" attribute="1" defaultMemberUniqueName="[Table1].[Loyalty Rank].[All]" allUniqueName="[Table1].[Loyalty Rank].[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ID]" caption="Count of Custom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6"/>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6"/>
        </ext>
      </extLst>
    </cacheHierarchy>
    <cacheHierarchy uniqueName="[Measures].[Count of Customer_Segment]" caption="Count of Customer_Segment" measure="1" displayFolder="" measureGroup="Range" count="0" hidden="1">
      <extLst>
        <ext xmlns:x15="http://schemas.microsoft.com/office/spreadsheetml/2010/11/main" uri="{B97F6D7D-B522-45F9-BDA1-12C45D357490}">
          <x15:cacheHierarchy aggregatedColumn="7"/>
        </ext>
      </extLst>
    </cacheHierarchy>
    <cacheHierarchy uniqueName="[Measures].[Sum of Loyalty Rank]" caption="Sum of Loyalty Rank" measure="1" displayFolder="" measureGroup="Range" count="0" hidden="1">
      <extLst>
        <ext xmlns:x15="http://schemas.microsoft.com/office/spreadsheetml/2010/11/main" uri="{B97F6D7D-B522-45F9-BDA1-12C45D357490}">
          <x15:cacheHierarchy aggregatedColumn="13"/>
        </ext>
      </extLst>
    </cacheHierarchy>
    <cacheHierarchy uniqueName="[Measures].[Count of Loyalty Rank]" caption="Count of Loyalty Rank" measure="1" displayFolder="" measureGroup="Range" count="0" hidden="1">
      <extLst>
        <ext xmlns:x15="http://schemas.microsoft.com/office/spreadsheetml/2010/11/main" uri="{B97F6D7D-B522-45F9-BDA1-12C45D357490}">
          <x15:cacheHierarchy aggregatedColumn="13"/>
        </ext>
      </extLst>
    </cacheHierarchy>
    <cacheHierarchy uniqueName="[Measures].[Sum of Loyalty Rank 2]" caption="Sum of Loyalty Rank 2" measure="1" displayFolder="" measureGroup="Table1" count="0" hidden="1">
      <extLst>
        <ext xmlns:x15="http://schemas.microsoft.com/office/spreadsheetml/2010/11/main" uri="{B97F6D7D-B522-45F9-BDA1-12C45D357490}">
          <x15:cacheHierarchy aggregatedColumn="27"/>
        </ext>
      </extLst>
    </cacheHierarchy>
    <cacheHierarchy uniqueName="[Measures].[Sum of Tenure Year]" caption="Sum of Tenure Year" measure="1" displayFolder="" measureGroup="Table1" count="0" hidden="1">
      <extLst>
        <ext xmlns:x15="http://schemas.microsoft.com/office/spreadsheetml/2010/11/main" uri="{B97F6D7D-B522-45F9-BDA1-12C45D357490}">
          <x15:cacheHierarchy aggregatedColumn="25"/>
        </ext>
      </extLst>
    </cacheHierarchy>
    <cacheHierarchy uniqueName="[Measures].[Max of Tenure Year]" caption="Max of Tenure Year" measure="1" displayFolder="" measureGroup="Table1" count="0" hidden="1">
      <extLst>
        <ext xmlns:x15="http://schemas.microsoft.com/office/spreadsheetml/2010/11/main" uri="{B97F6D7D-B522-45F9-BDA1-12C45D357490}">
          <x15:cacheHierarchy aggregatedColumn="25"/>
        </ext>
      </extLst>
    </cacheHierarchy>
    <cacheHierarchy uniqueName="[Measures].[Average of Tenure Year]" caption="Average of Tenure Year" measure="1" displayFolder="" measureGroup="Table1" count="0" hidden="1">
      <extLst>
        <ext xmlns:x15="http://schemas.microsoft.com/office/spreadsheetml/2010/11/main" uri="{B97F6D7D-B522-45F9-BDA1-12C45D357490}">
          <x15:cacheHierarchy aggregatedColumn="25"/>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8.081210648146" backgroundQuery="1" createdVersion="7" refreshedVersion="7" minRefreshableVersion="3" recordCount="0" supportSubquery="1" supportAdvancedDrill="1" xr:uid="{1FBF9900-3031-42F6-B8F9-1823CDBED5FB}">
  <cacheSource type="external" connectionId="2"/>
  <cacheFields count="4">
    <cacheField name="[Range].[Age_group].[Age_group]" caption="Age_group" numFmtId="0" hierarchy="9" level="1">
      <sharedItems count="4">
        <s v="Boomers"/>
        <s v="Gen X"/>
        <s v="Gen Z"/>
        <s v="Millennials"/>
      </sharedItems>
    </cacheField>
    <cacheField name="[Range].[Income Bracket].[Income Bracket]" caption="Income Bracket" numFmtId="0" hierarchy="10" level="1">
      <sharedItems count="4">
        <s v="High"/>
        <s v="Low"/>
        <s v="Medium"/>
        <s v="Premium"/>
      </sharedItems>
    </cacheField>
    <cacheField name="[Measures].[Count of CustomerID]" caption="Count of CustomerID" numFmtId="0" hierarchy="31" level="32767"/>
    <cacheField name="[Range].[Gender].[Gender]" caption="Gender" numFmtId="0" hierarchy="2" level="1">
      <sharedItems containsSemiMixedTypes="0" containsNonDate="0" containsString="0"/>
    </cacheField>
  </cacheFields>
  <cacheHierarchies count="41">
    <cacheHierarchy uniqueName="[Range].[CustomerID]" caption="CustomerID" attribute="1" defaultMemberUniqueName="[Range].[CustomerID].[All]" allUniqueName="[Range].[Customer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Occupation]" caption="Occupation" attribute="1" defaultMemberUniqueName="[Range].[Occupation].[All]" allUniqueName="[Range].[Occupation].[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Join_Date]" caption="Join_Date" attribute="1" time="1" defaultMemberUniqueName="[Range].[Join_Date].[All]" allUniqueName="[Range].[Join_Date].[All]" dimensionUniqueName="[Range]" displayFolder="" count="0" memberValueDatatype="7" unbalanced="0"/>
    <cacheHierarchy uniqueName="[Range].[Age_group]" caption="Age_group" attribute="1" defaultMemberUniqueName="[Range].[Age_group].[All]" allUniqueName="[Range].[Age_group].[All]" dimensionUniqueName="[Range]" displayFolder="" count="2" memberValueDatatype="130" unbalanced="0">
      <fieldsUsage count="2">
        <fieldUsage x="-1"/>
        <fieldUsage x="0"/>
      </fieldsUsage>
    </cacheHierarchy>
    <cacheHierarchy uniqueName="[Range].[Income Bracket]" caption="Income Bracket" attribute="1" defaultMemberUniqueName="[Range].[Income Bracket].[All]" allUniqueName="[Range].[Income Bracket].[All]" dimensionUniqueName="[Range]" displayFolder="" count="2" memberValueDatatype="130" unbalanced="0">
      <fieldsUsage count="2">
        <fieldUsage x="-1"/>
        <fieldUsage x="1"/>
      </fieldsUsage>
    </cacheHierarchy>
    <cacheHierarchy uniqueName="[Range].[Tenure Year]" caption="Tenure Year" attribute="1" defaultMemberUniqueName="[Range].[Tenure Year].[All]" allUniqueName="[Range].[Tenure Year].[All]" dimensionUniqueName="[Range]" displayFolder="" count="0" memberValueDatatype="20" unbalanced="0"/>
    <cacheHierarchy uniqueName="[Range].[Tenure Band]" caption="Tenure Band" attribute="1" defaultMemberUniqueName="[Range].[Tenure Band].[All]" allUniqueName="[Range].[Tenure Band].[All]" dimensionUniqueName="[Range]" displayFolder="" count="0" memberValueDatatype="130" unbalanced="0"/>
    <cacheHierarchy uniqueName="[Range].[Loyalty Rank]" caption="Loyalty Rank" attribute="1" defaultMemberUniqueName="[Range].[Loyalty Rank].[All]" allUniqueName="[Range].[Loyalty Rank].[All]" dimensionUniqueName="[Range]"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Age_group]" caption="Age_group" attribute="1" defaultMemberUniqueName="[Table1].[Age_group].[All]" allUniqueName="[Table1].[Age_group].[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Tenure Year]" caption="Tenure Year" attribute="1" defaultMemberUniqueName="[Table1].[Tenure Year].[All]" allUniqueName="[Table1].[Tenure Year].[All]" dimensionUniqueName="[Table1]" displayFolder="" count="0" memberValueDatatype="20" unbalanced="0"/>
    <cacheHierarchy uniqueName="[Table1].[Tenure Band]" caption="Tenure Band" attribute="1" defaultMemberUniqueName="[Table1].[Tenure Band].[All]" allUniqueName="[Table1].[Tenure Band].[All]" dimensionUniqueName="[Table1]" displayFolder="" count="0" memberValueDatatype="130" unbalanced="0"/>
    <cacheHierarchy uniqueName="[Table1].[Loyalty Rank]" caption="Loyalty Rank" attribute="1" defaultMemberUniqueName="[Table1].[Loyalty Rank].[All]" allUniqueName="[Table1].[Loyalty Rank].[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ID]" caption="Count of Customer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6"/>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6"/>
        </ext>
      </extLst>
    </cacheHierarchy>
    <cacheHierarchy uniqueName="[Measures].[Count of Customer_Segment]" caption="Count of Customer_Segment" measure="1" displayFolder="" measureGroup="Range" count="0" hidden="1">
      <extLst>
        <ext xmlns:x15="http://schemas.microsoft.com/office/spreadsheetml/2010/11/main" uri="{B97F6D7D-B522-45F9-BDA1-12C45D357490}">
          <x15:cacheHierarchy aggregatedColumn="7"/>
        </ext>
      </extLst>
    </cacheHierarchy>
    <cacheHierarchy uniqueName="[Measures].[Sum of Loyalty Rank]" caption="Sum of Loyalty Rank" measure="1" displayFolder="" measureGroup="Range" count="0" hidden="1">
      <extLst>
        <ext xmlns:x15="http://schemas.microsoft.com/office/spreadsheetml/2010/11/main" uri="{B97F6D7D-B522-45F9-BDA1-12C45D357490}">
          <x15:cacheHierarchy aggregatedColumn="13"/>
        </ext>
      </extLst>
    </cacheHierarchy>
    <cacheHierarchy uniqueName="[Measures].[Count of Loyalty Rank]" caption="Count of Loyalty Rank" measure="1" displayFolder="" measureGroup="Range" count="0" hidden="1">
      <extLst>
        <ext xmlns:x15="http://schemas.microsoft.com/office/spreadsheetml/2010/11/main" uri="{B97F6D7D-B522-45F9-BDA1-12C45D357490}">
          <x15:cacheHierarchy aggregatedColumn="13"/>
        </ext>
      </extLst>
    </cacheHierarchy>
    <cacheHierarchy uniqueName="[Measures].[Sum of Loyalty Rank 2]" caption="Sum of Loyalty Rank 2" measure="1" displayFolder="" measureGroup="Table1" count="0" hidden="1">
      <extLst>
        <ext xmlns:x15="http://schemas.microsoft.com/office/spreadsheetml/2010/11/main" uri="{B97F6D7D-B522-45F9-BDA1-12C45D357490}">
          <x15:cacheHierarchy aggregatedColumn="27"/>
        </ext>
      </extLst>
    </cacheHierarchy>
    <cacheHierarchy uniqueName="[Measures].[Sum of Tenure Year]" caption="Sum of Tenure Year" measure="1" displayFolder="" measureGroup="Table1" count="0" hidden="1">
      <extLst>
        <ext xmlns:x15="http://schemas.microsoft.com/office/spreadsheetml/2010/11/main" uri="{B97F6D7D-B522-45F9-BDA1-12C45D357490}">
          <x15:cacheHierarchy aggregatedColumn="25"/>
        </ext>
      </extLst>
    </cacheHierarchy>
    <cacheHierarchy uniqueName="[Measures].[Max of Tenure Year]" caption="Max of Tenure Year" measure="1" displayFolder="" measureGroup="Table1" count="0" hidden="1">
      <extLst>
        <ext xmlns:x15="http://schemas.microsoft.com/office/spreadsheetml/2010/11/main" uri="{B97F6D7D-B522-45F9-BDA1-12C45D357490}">
          <x15:cacheHierarchy aggregatedColumn="25"/>
        </ext>
      </extLst>
    </cacheHierarchy>
    <cacheHierarchy uniqueName="[Measures].[Average of Tenure Year]" caption="Average of Tenure Year" measure="1" displayFolder="" measureGroup="Table1" count="0" hidden="1">
      <extLst>
        <ext xmlns:x15="http://schemas.microsoft.com/office/spreadsheetml/2010/11/main" uri="{B97F6D7D-B522-45F9-BDA1-12C45D357490}">
          <x15:cacheHierarchy aggregatedColumn="25"/>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8.081213888887" backgroundQuery="1" createdVersion="7" refreshedVersion="7" minRefreshableVersion="3" recordCount="0" supportSubquery="1" supportAdvancedDrill="1" xr:uid="{98E31105-95B7-4F81-B720-9D70E6A6D26A}">
  <cacheSource type="external" connectionId="2"/>
  <cacheFields count="4">
    <cacheField name="[Range].[Customer_Segment].[Customer_Segment]" caption="Customer_Segment" numFmtId="0" hierarchy="7" level="1">
      <sharedItems count="3">
        <s v="Corporate"/>
        <s v="Private"/>
        <s v="Retail"/>
      </sharedItems>
    </cacheField>
    <cacheField name="[Measures].[Count of CustomerID]" caption="Count of CustomerID" numFmtId="0" hierarchy="31" level="32767"/>
    <cacheField name="[Measures].[Average of Income]" caption="Average of Income" numFmtId="0" hierarchy="33" level="32767"/>
    <cacheField name="[Range].[Gender].[Gender]" caption="Gender" numFmtId="0" hierarchy="2" level="1">
      <sharedItems containsSemiMixedTypes="0" containsNonDate="0" containsString="0"/>
    </cacheField>
  </cacheFields>
  <cacheHierarchies count="41">
    <cacheHierarchy uniqueName="[Range].[CustomerID]" caption="CustomerID" attribute="1" defaultMemberUniqueName="[Range].[CustomerID].[All]" allUniqueName="[Range].[Customer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Occupation]" caption="Occupation" attribute="1" defaultMemberUniqueName="[Range].[Occupation].[All]" allUniqueName="[Range].[Occupation].[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ustomer_Segment]" caption="Customer_Segment" attribute="1" defaultMemberUniqueName="[Range].[Customer_Segment].[All]" allUniqueName="[Range].[Customer_Segment].[All]" dimensionUniqueName="[Range]" displayFolder="" count="2" memberValueDatatype="130" unbalanced="0">
      <fieldsUsage count="2">
        <fieldUsage x="-1"/>
        <fieldUsage x="0"/>
      </fieldsUsage>
    </cacheHierarchy>
    <cacheHierarchy uniqueName="[Range].[Join_Date]" caption="Join_Date" attribute="1" time="1" defaultMemberUniqueName="[Range].[Join_Date].[All]" allUniqueName="[Range].[Join_Date].[All]" dimensionUniqueName="[Range]" displayFolder="" count="0" memberValueDatatype="7" unbalanced="0"/>
    <cacheHierarchy uniqueName="[Range].[Age_group]" caption="Age_group" attribute="1" defaultMemberUniqueName="[Range].[Age_group].[All]" allUniqueName="[Range].[Age_group].[All]" dimensionUniqueName="[Range]" displayFolder="" count="0" memberValueDatatype="130" unbalanced="0"/>
    <cacheHierarchy uniqueName="[Range].[Income Bracket]" caption="Income Bracket" attribute="1" defaultMemberUniqueName="[Range].[Income Bracket].[All]" allUniqueName="[Range].[Income Bracket].[All]" dimensionUniqueName="[Range]" displayFolder="" count="0" memberValueDatatype="130" unbalanced="0"/>
    <cacheHierarchy uniqueName="[Range].[Tenure Year]" caption="Tenure Year" attribute="1" defaultMemberUniqueName="[Range].[Tenure Year].[All]" allUniqueName="[Range].[Tenure Year].[All]" dimensionUniqueName="[Range]" displayFolder="" count="0" memberValueDatatype="20" unbalanced="0"/>
    <cacheHierarchy uniqueName="[Range].[Tenure Band]" caption="Tenure Band" attribute="1" defaultMemberUniqueName="[Range].[Tenure Band].[All]" allUniqueName="[Range].[Tenure Band].[All]" dimensionUniqueName="[Range]" displayFolder="" count="0" memberValueDatatype="130" unbalanced="0"/>
    <cacheHierarchy uniqueName="[Range].[Loyalty Rank]" caption="Loyalty Rank" attribute="1" defaultMemberUniqueName="[Range].[Loyalty Rank].[All]" allUniqueName="[Range].[Loyalty Rank].[All]" dimensionUniqueName="[Range]"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Age_group]" caption="Age_group" attribute="1" defaultMemberUniqueName="[Table1].[Age_group].[All]" allUniqueName="[Table1].[Age_group].[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Tenure Year]" caption="Tenure Year" attribute="1" defaultMemberUniqueName="[Table1].[Tenure Year].[All]" allUniqueName="[Table1].[Tenure Year].[All]" dimensionUniqueName="[Table1]" displayFolder="" count="0" memberValueDatatype="20" unbalanced="0"/>
    <cacheHierarchy uniqueName="[Table1].[Tenure Band]" caption="Tenure Band" attribute="1" defaultMemberUniqueName="[Table1].[Tenure Band].[All]" allUniqueName="[Table1].[Tenure Band].[All]" dimensionUniqueName="[Table1]" displayFolder="" count="0" memberValueDatatype="130" unbalanced="0"/>
    <cacheHierarchy uniqueName="[Table1].[Loyalty Rank]" caption="Loyalty Rank" attribute="1" defaultMemberUniqueName="[Table1].[Loyalty Rank].[All]" allUniqueName="[Table1].[Loyalty Rank].[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ID]" caption="Count of Customer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6"/>
        </ext>
      </extLst>
    </cacheHierarchy>
    <cacheHierarchy uniqueName="[Measures].[Average of Income]" caption="Average of Income"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y uniqueName="[Measures].[Count of Customer_Segment]" caption="Count of Customer_Segment" measure="1" displayFolder="" measureGroup="Range" count="0" hidden="1">
      <extLst>
        <ext xmlns:x15="http://schemas.microsoft.com/office/spreadsheetml/2010/11/main" uri="{B97F6D7D-B522-45F9-BDA1-12C45D357490}">
          <x15:cacheHierarchy aggregatedColumn="7"/>
        </ext>
      </extLst>
    </cacheHierarchy>
    <cacheHierarchy uniqueName="[Measures].[Sum of Loyalty Rank]" caption="Sum of Loyalty Rank" measure="1" displayFolder="" measureGroup="Range" count="0" hidden="1">
      <extLst>
        <ext xmlns:x15="http://schemas.microsoft.com/office/spreadsheetml/2010/11/main" uri="{B97F6D7D-B522-45F9-BDA1-12C45D357490}">
          <x15:cacheHierarchy aggregatedColumn="13"/>
        </ext>
      </extLst>
    </cacheHierarchy>
    <cacheHierarchy uniqueName="[Measures].[Count of Loyalty Rank]" caption="Count of Loyalty Rank" measure="1" displayFolder="" measureGroup="Range" count="0" hidden="1">
      <extLst>
        <ext xmlns:x15="http://schemas.microsoft.com/office/spreadsheetml/2010/11/main" uri="{B97F6D7D-B522-45F9-BDA1-12C45D357490}">
          <x15:cacheHierarchy aggregatedColumn="13"/>
        </ext>
      </extLst>
    </cacheHierarchy>
    <cacheHierarchy uniqueName="[Measures].[Sum of Loyalty Rank 2]" caption="Sum of Loyalty Rank 2" measure="1" displayFolder="" measureGroup="Table1" count="0" hidden="1">
      <extLst>
        <ext xmlns:x15="http://schemas.microsoft.com/office/spreadsheetml/2010/11/main" uri="{B97F6D7D-B522-45F9-BDA1-12C45D357490}">
          <x15:cacheHierarchy aggregatedColumn="27"/>
        </ext>
      </extLst>
    </cacheHierarchy>
    <cacheHierarchy uniqueName="[Measures].[Sum of Tenure Year]" caption="Sum of Tenure Year" measure="1" displayFolder="" measureGroup="Table1" count="0" hidden="1">
      <extLst>
        <ext xmlns:x15="http://schemas.microsoft.com/office/spreadsheetml/2010/11/main" uri="{B97F6D7D-B522-45F9-BDA1-12C45D357490}">
          <x15:cacheHierarchy aggregatedColumn="25"/>
        </ext>
      </extLst>
    </cacheHierarchy>
    <cacheHierarchy uniqueName="[Measures].[Max of Tenure Year]" caption="Max of Tenure Year" measure="1" displayFolder="" measureGroup="Table1" count="0" hidden="1">
      <extLst>
        <ext xmlns:x15="http://schemas.microsoft.com/office/spreadsheetml/2010/11/main" uri="{B97F6D7D-B522-45F9-BDA1-12C45D357490}">
          <x15:cacheHierarchy aggregatedColumn="25"/>
        </ext>
      </extLst>
    </cacheHierarchy>
    <cacheHierarchy uniqueName="[Measures].[Average of Tenure Year]" caption="Average of Tenure Year" measure="1" displayFolder="" measureGroup="Table1" count="0" hidden="1">
      <extLst>
        <ext xmlns:x15="http://schemas.microsoft.com/office/spreadsheetml/2010/11/main" uri="{B97F6D7D-B522-45F9-BDA1-12C45D357490}">
          <x15:cacheHierarchy aggregatedColumn="25"/>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8.081216782404" backgroundQuery="1" createdVersion="7" refreshedVersion="7" minRefreshableVersion="3" recordCount="0" supportSubquery="1" supportAdvancedDrill="1" xr:uid="{D322C423-2AEA-404E-8572-44E10CC84ABA}">
  <cacheSource type="external" connectionId="2"/>
  <cacheFields count="3">
    <cacheField name="[Measures].[Count of CustomerID]" caption="Count of CustomerID" numFmtId="0" hierarchy="31" level="32767"/>
    <cacheField name="[Range].[Region].[Region]" caption="Region" numFmtId="0" hierarchy="4" level="1">
      <sharedItems count="4">
        <s v="East"/>
        <s v="North"/>
        <s v="South"/>
        <s v="West"/>
      </sharedItems>
    </cacheField>
    <cacheField name="[Range].[Gender].[Gender]" caption="Gender" numFmtId="0" hierarchy="2" level="1">
      <sharedItems containsSemiMixedTypes="0" containsNonDate="0" containsString="0"/>
    </cacheField>
  </cacheFields>
  <cacheHierarchies count="41">
    <cacheHierarchy uniqueName="[Range].[CustomerID]" caption="CustomerID" attribute="1" defaultMemberUniqueName="[Range].[CustomerID].[All]" allUniqueName="[Range].[Customer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Occupation]" caption="Occupation" attribute="1" defaultMemberUniqueName="[Range].[Occupation].[All]" allUniqueName="[Range].[Occupation].[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Join_Date]" caption="Join_Date" attribute="1" time="1" defaultMemberUniqueName="[Range].[Join_Date].[All]" allUniqueName="[Range].[Join_Date].[All]" dimensionUniqueName="[Range]" displayFolder="" count="0" memberValueDatatype="7" unbalanced="0"/>
    <cacheHierarchy uniqueName="[Range].[Age_group]" caption="Age_group" attribute="1" defaultMemberUniqueName="[Range].[Age_group].[All]" allUniqueName="[Range].[Age_group].[All]" dimensionUniqueName="[Range]" displayFolder="" count="0" memberValueDatatype="130" unbalanced="0"/>
    <cacheHierarchy uniqueName="[Range].[Income Bracket]" caption="Income Bracket" attribute="1" defaultMemberUniqueName="[Range].[Income Bracket].[All]" allUniqueName="[Range].[Income Bracket].[All]" dimensionUniqueName="[Range]" displayFolder="" count="0" memberValueDatatype="130" unbalanced="0"/>
    <cacheHierarchy uniqueName="[Range].[Tenure Year]" caption="Tenure Year" attribute="1" defaultMemberUniqueName="[Range].[Tenure Year].[All]" allUniqueName="[Range].[Tenure Year].[All]" dimensionUniqueName="[Range]" displayFolder="" count="0" memberValueDatatype="20" unbalanced="0"/>
    <cacheHierarchy uniqueName="[Range].[Tenure Band]" caption="Tenure Band" attribute="1" defaultMemberUniqueName="[Range].[Tenure Band].[All]" allUniqueName="[Range].[Tenure Band].[All]" dimensionUniqueName="[Range]" displayFolder="" count="0" memberValueDatatype="130" unbalanced="0"/>
    <cacheHierarchy uniqueName="[Range].[Loyalty Rank]" caption="Loyalty Rank" attribute="1" defaultMemberUniqueName="[Range].[Loyalty Rank].[All]" allUniqueName="[Range].[Loyalty Rank].[All]" dimensionUniqueName="[Range]"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Age_group]" caption="Age_group" attribute="1" defaultMemberUniqueName="[Table1].[Age_group].[All]" allUniqueName="[Table1].[Age_group].[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Tenure Year]" caption="Tenure Year" attribute="1" defaultMemberUniqueName="[Table1].[Tenure Year].[All]" allUniqueName="[Table1].[Tenure Year].[All]" dimensionUniqueName="[Table1]" displayFolder="" count="0" memberValueDatatype="20" unbalanced="0"/>
    <cacheHierarchy uniqueName="[Table1].[Tenure Band]" caption="Tenure Band" attribute="1" defaultMemberUniqueName="[Table1].[Tenure Band].[All]" allUniqueName="[Table1].[Tenure Band].[All]" dimensionUniqueName="[Table1]" displayFolder="" count="0" memberValueDatatype="130" unbalanced="0"/>
    <cacheHierarchy uniqueName="[Table1].[Loyalty Rank]" caption="Loyalty Rank" attribute="1" defaultMemberUniqueName="[Table1].[Loyalty Rank].[All]" allUniqueName="[Table1].[Loyalty Rank].[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ID]" caption="Count of Customer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6"/>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6"/>
        </ext>
      </extLst>
    </cacheHierarchy>
    <cacheHierarchy uniqueName="[Measures].[Count of Customer_Segment]" caption="Count of Customer_Segment" measure="1" displayFolder="" measureGroup="Range" count="0" hidden="1">
      <extLst>
        <ext xmlns:x15="http://schemas.microsoft.com/office/spreadsheetml/2010/11/main" uri="{B97F6D7D-B522-45F9-BDA1-12C45D357490}">
          <x15:cacheHierarchy aggregatedColumn="7"/>
        </ext>
      </extLst>
    </cacheHierarchy>
    <cacheHierarchy uniqueName="[Measures].[Sum of Loyalty Rank]" caption="Sum of Loyalty Rank" measure="1" displayFolder="" measureGroup="Range" count="0" hidden="1">
      <extLst>
        <ext xmlns:x15="http://schemas.microsoft.com/office/spreadsheetml/2010/11/main" uri="{B97F6D7D-B522-45F9-BDA1-12C45D357490}">
          <x15:cacheHierarchy aggregatedColumn="13"/>
        </ext>
      </extLst>
    </cacheHierarchy>
    <cacheHierarchy uniqueName="[Measures].[Count of Loyalty Rank]" caption="Count of Loyalty Rank" measure="1" displayFolder="" measureGroup="Range" count="0" hidden="1">
      <extLst>
        <ext xmlns:x15="http://schemas.microsoft.com/office/spreadsheetml/2010/11/main" uri="{B97F6D7D-B522-45F9-BDA1-12C45D357490}">
          <x15:cacheHierarchy aggregatedColumn="13"/>
        </ext>
      </extLst>
    </cacheHierarchy>
    <cacheHierarchy uniqueName="[Measures].[Sum of Loyalty Rank 2]" caption="Sum of Loyalty Rank 2" measure="1" displayFolder="" measureGroup="Table1" count="0" hidden="1">
      <extLst>
        <ext xmlns:x15="http://schemas.microsoft.com/office/spreadsheetml/2010/11/main" uri="{B97F6D7D-B522-45F9-BDA1-12C45D357490}">
          <x15:cacheHierarchy aggregatedColumn="27"/>
        </ext>
      </extLst>
    </cacheHierarchy>
    <cacheHierarchy uniqueName="[Measures].[Sum of Tenure Year]" caption="Sum of Tenure Year" measure="1" displayFolder="" measureGroup="Table1" count="0" hidden="1">
      <extLst>
        <ext xmlns:x15="http://schemas.microsoft.com/office/spreadsheetml/2010/11/main" uri="{B97F6D7D-B522-45F9-BDA1-12C45D357490}">
          <x15:cacheHierarchy aggregatedColumn="25"/>
        </ext>
      </extLst>
    </cacheHierarchy>
    <cacheHierarchy uniqueName="[Measures].[Max of Tenure Year]" caption="Max of Tenure Year" measure="1" displayFolder="" measureGroup="Table1" count="0" hidden="1">
      <extLst>
        <ext xmlns:x15="http://schemas.microsoft.com/office/spreadsheetml/2010/11/main" uri="{B97F6D7D-B522-45F9-BDA1-12C45D357490}">
          <x15:cacheHierarchy aggregatedColumn="25"/>
        </ext>
      </extLst>
    </cacheHierarchy>
    <cacheHierarchy uniqueName="[Measures].[Average of Tenure Year]" caption="Average of Tenure Year" measure="1" displayFolder="" measureGroup="Table1" count="0" hidden="1">
      <extLst>
        <ext xmlns:x15="http://schemas.microsoft.com/office/spreadsheetml/2010/11/main" uri="{B97F6D7D-B522-45F9-BDA1-12C45D357490}">
          <x15:cacheHierarchy aggregatedColumn="25"/>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8.081220023145" backgroundQuery="1" createdVersion="7" refreshedVersion="7" minRefreshableVersion="3" recordCount="0" supportSubquery="1" supportAdvancedDrill="1" xr:uid="{3DEE0CD2-769D-478C-8723-17B744731A78}">
  <cacheSource type="external" connectionId="2"/>
  <cacheFields count="3">
    <cacheField name="[Table1].[Name].[Name]" caption="Name" numFmtId="0" hierarchy="15" level="1">
      <sharedItems count="5">
        <s v="Abigail Gallegos"/>
        <s v="Adam Montgomery"/>
        <s v="Amanda Nelson"/>
        <s v="Daniel Miller"/>
        <s v="Edward Ramirez"/>
      </sharedItems>
    </cacheField>
    <cacheField name="[Measures].[Max of Tenure Year]" caption="Max of Tenure Year" numFmtId="0" hierarchy="39" level="32767"/>
    <cacheField name="[Range].[Gender].[Gender]" caption="Gender" numFmtId="0" hierarchy="2" level="1">
      <sharedItems containsSemiMixedTypes="0" containsNonDate="0" containsString="0"/>
    </cacheField>
  </cacheFields>
  <cacheHierarchies count="41">
    <cacheHierarchy uniqueName="[Range].[CustomerID]" caption="CustomerID" attribute="1" defaultMemberUniqueName="[Range].[CustomerID].[All]" allUniqueName="[Range].[Customer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Occupation]" caption="Occupation" attribute="1" defaultMemberUniqueName="[Range].[Occupation].[All]" allUniqueName="[Range].[Occupation].[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Join_Date]" caption="Join_Date" attribute="1" time="1" defaultMemberUniqueName="[Range].[Join_Date].[All]" allUniqueName="[Range].[Join_Date].[All]" dimensionUniqueName="[Range]" displayFolder="" count="0" memberValueDatatype="7" unbalanced="0"/>
    <cacheHierarchy uniqueName="[Range].[Age_group]" caption="Age_group" attribute="1" defaultMemberUniqueName="[Range].[Age_group].[All]" allUniqueName="[Range].[Age_group].[All]" dimensionUniqueName="[Range]" displayFolder="" count="0" memberValueDatatype="130" unbalanced="0"/>
    <cacheHierarchy uniqueName="[Range].[Income Bracket]" caption="Income Bracket" attribute="1" defaultMemberUniqueName="[Range].[Income Bracket].[All]" allUniqueName="[Range].[Income Bracket].[All]" dimensionUniqueName="[Range]" displayFolder="" count="0" memberValueDatatype="130" unbalanced="0"/>
    <cacheHierarchy uniqueName="[Range].[Tenure Year]" caption="Tenure Year" attribute="1" defaultMemberUniqueName="[Range].[Tenure Year].[All]" allUniqueName="[Range].[Tenure Year].[All]" dimensionUniqueName="[Range]" displayFolder="" count="0" memberValueDatatype="20" unbalanced="0"/>
    <cacheHierarchy uniqueName="[Range].[Tenure Band]" caption="Tenure Band" attribute="1" defaultMemberUniqueName="[Range].[Tenure Band].[All]" allUniqueName="[Range].[Tenure Band].[All]" dimensionUniqueName="[Range]" displayFolder="" count="0" memberValueDatatype="130" unbalanced="0"/>
    <cacheHierarchy uniqueName="[Range].[Loyalty Rank]" caption="Loyalty Rank" attribute="1" defaultMemberUniqueName="[Range].[Loyalty Rank].[All]" allUniqueName="[Range].[Loyalty Rank].[All]" dimensionUniqueName="[Range]"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Name]" caption="Name" attribute="1" defaultMemberUniqueName="[Table1].[Name].[All]" allUniqueName="[Table1].[Name].[All]" dimensionUniqueName="[Table1]" displayFolder="" count="2" memberValueDatatype="130" unbalanced="0">
      <fieldsUsage count="2">
        <fieldUsage x="-1"/>
        <fieldUsage x="0"/>
      </fieldsUsage>
    </cacheHierarchy>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Age_group]" caption="Age_group" attribute="1" defaultMemberUniqueName="[Table1].[Age_group].[All]" allUniqueName="[Table1].[Age_group].[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Tenure Year]" caption="Tenure Year" attribute="1" defaultMemberUniqueName="[Table1].[Tenure Year].[All]" allUniqueName="[Table1].[Tenure Year].[All]" dimensionUniqueName="[Table1]" displayFolder="" count="0" memberValueDatatype="20" unbalanced="0"/>
    <cacheHierarchy uniqueName="[Table1].[Tenure Band]" caption="Tenure Band" attribute="1" defaultMemberUniqueName="[Table1].[Tenure Band].[All]" allUniqueName="[Table1].[Tenure Band].[All]" dimensionUniqueName="[Table1]" displayFolder="" count="0" memberValueDatatype="130" unbalanced="0"/>
    <cacheHierarchy uniqueName="[Table1].[Loyalty Rank]" caption="Loyalty Rank" attribute="1" defaultMemberUniqueName="[Table1].[Loyalty Rank].[All]" allUniqueName="[Table1].[Loyalty Rank].[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0"/>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6"/>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6"/>
        </ext>
      </extLst>
    </cacheHierarchy>
    <cacheHierarchy uniqueName="[Measures].[Count of Customer_Segment]" caption="Count of Customer_Segment" measure="1" displayFolder="" measureGroup="Range" count="0" hidden="1">
      <extLst>
        <ext xmlns:x15="http://schemas.microsoft.com/office/spreadsheetml/2010/11/main" uri="{B97F6D7D-B522-45F9-BDA1-12C45D357490}">
          <x15:cacheHierarchy aggregatedColumn="7"/>
        </ext>
      </extLst>
    </cacheHierarchy>
    <cacheHierarchy uniqueName="[Measures].[Sum of Loyalty Rank]" caption="Sum of Loyalty Rank" measure="1" displayFolder="" measureGroup="Range" count="0" hidden="1">
      <extLst>
        <ext xmlns:x15="http://schemas.microsoft.com/office/spreadsheetml/2010/11/main" uri="{B97F6D7D-B522-45F9-BDA1-12C45D357490}">
          <x15:cacheHierarchy aggregatedColumn="13"/>
        </ext>
      </extLst>
    </cacheHierarchy>
    <cacheHierarchy uniqueName="[Measures].[Count of Loyalty Rank]" caption="Count of Loyalty Rank" measure="1" displayFolder="" measureGroup="Range" count="0" hidden="1">
      <extLst>
        <ext xmlns:x15="http://schemas.microsoft.com/office/spreadsheetml/2010/11/main" uri="{B97F6D7D-B522-45F9-BDA1-12C45D357490}">
          <x15:cacheHierarchy aggregatedColumn="13"/>
        </ext>
      </extLst>
    </cacheHierarchy>
    <cacheHierarchy uniqueName="[Measures].[Sum of Loyalty Rank 2]" caption="Sum of Loyalty Rank 2" measure="1" displayFolder="" measureGroup="Table1" count="0" hidden="1">
      <extLst>
        <ext xmlns:x15="http://schemas.microsoft.com/office/spreadsheetml/2010/11/main" uri="{B97F6D7D-B522-45F9-BDA1-12C45D357490}">
          <x15:cacheHierarchy aggregatedColumn="27"/>
        </ext>
      </extLst>
    </cacheHierarchy>
    <cacheHierarchy uniqueName="[Measures].[Sum of Tenure Year]" caption="Sum of Tenure Year" measure="1" displayFolder="" measureGroup="Table1" count="0" hidden="1">
      <extLst>
        <ext xmlns:x15="http://schemas.microsoft.com/office/spreadsheetml/2010/11/main" uri="{B97F6D7D-B522-45F9-BDA1-12C45D357490}">
          <x15:cacheHierarchy aggregatedColumn="25"/>
        </ext>
      </extLst>
    </cacheHierarchy>
    <cacheHierarchy uniqueName="[Measures].[Max of Tenure Year]" caption="Max of Tenure Year" measure="1" displayFolder="" measureGroup="Table1" count="0" oneField="1" hidden="1">
      <fieldsUsage count="1">
        <fieldUsage x="1"/>
      </fieldsUsage>
      <extLst>
        <ext xmlns:x15="http://schemas.microsoft.com/office/spreadsheetml/2010/11/main" uri="{B97F6D7D-B522-45F9-BDA1-12C45D357490}">
          <x15:cacheHierarchy aggregatedColumn="25"/>
        </ext>
      </extLst>
    </cacheHierarchy>
    <cacheHierarchy uniqueName="[Measures].[Average of Tenure Year]" caption="Average of Tenure Year" measure="1" displayFolder="" measureGroup="Table1" count="0" hidden="1">
      <extLst>
        <ext xmlns:x15="http://schemas.microsoft.com/office/spreadsheetml/2010/11/main" uri="{B97F6D7D-B522-45F9-BDA1-12C45D357490}">
          <x15:cacheHierarchy aggregatedColumn="25"/>
        </ext>
      </extLst>
    </cacheHierarchy>
  </cacheHierarchies>
  <kpis count="0"/>
  <dimensions count="3">
    <dimension measure="1" name="Measures" uniqueName="[Measures]" caption="Measures"/>
    <dimension name="Range" uniqueName="[Range]" caption="Range"/>
    <dimension name="Table1" uniqueName="[Table1]" caption="Table1"/>
  </dimensions>
  <measureGroups count="2">
    <measureGroup name="Range" caption="Range"/>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97.935496064812" backgroundQuery="1" createdVersion="3" refreshedVersion="7" minRefreshableVersion="3" recordCount="0" supportSubquery="1" supportAdvancedDrill="1" xr:uid="{A271474C-181E-4E3B-9DE7-F8B9A4FCFE6C}">
  <cacheSource type="external" connectionId="2">
    <extLst>
      <ext xmlns:x14="http://schemas.microsoft.com/office/spreadsheetml/2009/9/main" uri="{F057638F-6D5F-4e77-A914-E7F072B9BCA8}">
        <x14:sourceConnection name="ThisWorkbookDataModel"/>
      </ext>
    </extLst>
  </cacheSource>
  <cacheFields count="0"/>
  <cacheHierarchies count="40">
    <cacheHierarchy uniqueName="[Range].[CustomerID]" caption="CustomerID" attribute="1" defaultMemberUniqueName="[Range].[CustomerID].[All]" allUniqueName="[Range].[Customer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Region]" caption="Region" attribute="1" defaultMemberUniqueName="[Range].[Region].[All]" allUniqueName="[Range].[Region].[All]" dimensionUniqueName="[Range]" displayFolder="" count="0" memberValueDatatype="130" unbalanced="0"/>
    <cacheHierarchy uniqueName="[Range].[Occupation]" caption="Occupation" attribute="1" defaultMemberUniqueName="[Range].[Occupation].[All]" allUniqueName="[Range].[Occupation].[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Join_Date]" caption="Join_Date" attribute="1" time="1" defaultMemberUniqueName="[Range].[Join_Date].[All]" allUniqueName="[Range].[Join_Date].[All]" dimensionUniqueName="[Range]" displayFolder="" count="0" memberValueDatatype="7" unbalanced="0"/>
    <cacheHierarchy uniqueName="[Range].[Age_group]" caption="Age_group" attribute="1" defaultMemberUniqueName="[Range].[Age_group].[All]" allUniqueName="[Range].[Age_group].[All]" dimensionUniqueName="[Range]" displayFolder="" count="0" memberValueDatatype="130" unbalanced="0"/>
    <cacheHierarchy uniqueName="[Range].[Income Bracket]" caption="Income Bracket" attribute="1" defaultMemberUniqueName="[Range].[Income Bracket].[All]" allUniqueName="[Range].[Income Bracket].[All]" dimensionUniqueName="[Range]" displayFolder="" count="0" memberValueDatatype="130" unbalanced="0"/>
    <cacheHierarchy uniqueName="[Range].[Tenure Year]" caption="Tenure Year" attribute="1" defaultMemberUniqueName="[Range].[Tenure Year].[All]" allUniqueName="[Range].[Tenure Year].[All]" dimensionUniqueName="[Range]" displayFolder="" count="0" memberValueDatatype="20" unbalanced="0"/>
    <cacheHierarchy uniqueName="[Range].[Tenure Band]" caption="Tenure Band" attribute="1" defaultMemberUniqueName="[Range].[Tenure Band].[All]" allUniqueName="[Range].[Tenure Band].[All]" dimensionUniqueName="[Range]" displayFolder="" count="0" memberValueDatatype="130" unbalanced="0"/>
    <cacheHierarchy uniqueName="[Range].[Loyalty Rank]" caption="Loyalty Rank" attribute="1" defaultMemberUniqueName="[Range].[Loyalty Rank].[All]" allUniqueName="[Range].[Loyalty Rank].[All]" dimensionUniqueName="[Range]" displayFolder="" count="0" memberValueDatatype="20" unbalanced="0"/>
    <cacheHierarchy uniqueName="[Table1].[CustomerID]" caption="CustomerID" attribute="1" defaultMemberUniqueName="[Table1].[CustomerID].[All]" allUniqueName="[Table1].[Customer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Join_Date]" caption="Join_Date" attribute="1" time="1" defaultMemberUniqueName="[Table1].[Join_Date].[All]" allUniqueName="[Table1].[Join_Date].[All]" dimensionUniqueName="[Table1]" displayFolder="" count="0" memberValueDatatype="7" unbalanced="0"/>
    <cacheHierarchy uniqueName="[Table1].[Age_group]" caption="Age_group" attribute="1" defaultMemberUniqueName="[Table1].[Age_group].[All]" allUniqueName="[Table1].[Age_group].[All]" dimensionUniqueName="[Table1]" displayFolder="" count="0" memberValueDatatype="130" unbalanced="0"/>
    <cacheHierarchy uniqueName="[Table1].[Income Bracket]" caption="Income Bracket" attribute="1" defaultMemberUniqueName="[Table1].[Income Bracket].[All]" allUniqueName="[Table1].[Income Bracket].[All]" dimensionUniqueName="[Table1]" displayFolder="" count="0" memberValueDatatype="130" unbalanced="0"/>
    <cacheHierarchy uniqueName="[Table1].[Tenure Year]" caption="Tenure Year" attribute="1" defaultMemberUniqueName="[Table1].[Tenure Year].[All]" allUniqueName="[Table1].[Tenure Year].[All]" dimensionUniqueName="[Table1]" displayFolder="" count="0" memberValueDatatype="20" unbalanced="0"/>
    <cacheHierarchy uniqueName="[Table1].[Tenure Band]" caption="Tenure Band" attribute="1" defaultMemberUniqueName="[Table1].[Tenure Band].[All]" allUniqueName="[Table1].[Tenure Band].[All]" dimensionUniqueName="[Table1]" displayFolder="" count="0" memberValueDatatype="130" unbalanced="0"/>
    <cacheHierarchy uniqueName="[Table1].[Loyalty Rank]" caption="Loyalty Rank" attribute="1" defaultMemberUniqueName="[Table1].[Loyalty Rank].[All]" allUniqueName="[Table1].[Loyalty Rank].[All]" dimensionUniqueName="[Table1]" displayFolder="" count="0" memberValueDatatype="2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ID]" caption="Count of CustomerID" measure="1" displayFolder="" measureGroup="Range" count="0" hidden="1">
      <extLst>
        <ext xmlns:x15="http://schemas.microsoft.com/office/spreadsheetml/2010/11/main" uri="{B97F6D7D-B522-45F9-BDA1-12C45D357490}">
          <x15:cacheHierarchy aggregatedColumn="0"/>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6"/>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6"/>
        </ext>
      </extLst>
    </cacheHierarchy>
    <cacheHierarchy uniqueName="[Measures].[Count of Customer_Segment]" caption="Count of Customer_Segment" measure="1" displayFolder="" measureGroup="Range" count="0" hidden="1">
      <extLst>
        <ext xmlns:x15="http://schemas.microsoft.com/office/spreadsheetml/2010/11/main" uri="{B97F6D7D-B522-45F9-BDA1-12C45D357490}">
          <x15:cacheHierarchy aggregatedColumn="7"/>
        </ext>
      </extLst>
    </cacheHierarchy>
    <cacheHierarchy uniqueName="[Measures].[Sum of Loyalty Rank]" caption="Sum of Loyalty Rank" measure="1" displayFolder="" measureGroup="Range" count="0" hidden="1">
      <extLst>
        <ext xmlns:x15="http://schemas.microsoft.com/office/spreadsheetml/2010/11/main" uri="{B97F6D7D-B522-45F9-BDA1-12C45D357490}">
          <x15:cacheHierarchy aggregatedColumn="13"/>
        </ext>
      </extLst>
    </cacheHierarchy>
    <cacheHierarchy uniqueName="[Measures].[Count of Loyalty Rank]" caption="Count of Loyalty Rank" measure="1" displayFolder="" measureGroup="Range" count="0" hidden="1">
      <extLst>
        <ext xmlns:x15="http://schemas.microsoft.com/office/spreadsheetml/2010/11/main" uri="{B97F6D7D-B522-45F9-BDA1-12C45D357490}">
          <x15:cacheHierarchy aggregatedColumn="13"/>
        </ext>
      </extLst>
    </cacheHierarchy>
    <cacheHierarchy uniqueName="[Measures].[Sum of Loyalty Rank 2]" caption="Sum of Loyalty Rank 2" measure="1" displayFolder="" measureGroup="Table1" count="0" hidden="1">
      <extLst>
        <ext xmlns:x15="http://schemas.microsoft.com/office/spreadsheetml/2010/11/main" uri="{B97F6D7D-B522-45F9-BDA1-12C45D357490}">
          <x15:cacheHierarchy aggregatedColumn="27"/>
        </ext>
      </extLst>
    </cacheHierarchy>
    <cacheHierarchy uniqueName="[Measures].[Sum of Tenure Year]" caption="Sum of Tenure Year" measure="1" displayFolder="" measureGroup="Table1" count="0" hidden="1">
      <extLst>
        <ext xmlns:x15="http://schemas.microsoft.com/office/spreadsheetml/2010/11/main" uri="{B97F6D7D-B522-45F9-BDA1-12C45D357490}">
          <x15:cacheHierarchy aggregatedColumn="25"/>
        </ext>
      </extLst>
    </cacheHierarchy>
    <cacheHierarchy uniqueName="[Measures].[Max of Tenure Year]" caption="Max of Tenure Year" measure="1" displayFolder="" measureGroup="Table1"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18609927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87354F-080C-4DC5-BC27-98B0C4456FE0}" name="PivotTable6" cacheId="26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M3:O7" firstHeaderRow="0"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v="1"/>
    </i>
    <i>
      <x v="2"/>
    </i>
    <i>
      <x/>
    </i>
    <i t="grand">
      <x/>
    </i>
  </rowItems>
  <colFields count="1">
    <field x="-2"/>
  </colFields>
  <colItems count="2">
    <i>
      <x/>
    </i>
    <i i="1">
      <x v="1"/>
    </i>
  </colItems>
  <dataFields count="2">
    <dataField name="Customer Segment" fld="1" subtotal="count" baseField="0" baseItem="0"/>
    <dataField name="Avg. Income" fld="2" subtotal="average" baseField="0" baseItem="0"/>
  </dataFields>
  <formats count="4">
    <format dxfId="75">
      <pivotArea collapsedLevelsAreSubtotals="1" fieldPosition="0">
        <references count="2">
          <reference field="4294967294" count="1" selected="0">
            <x v="1"/>
          </reference>
          <reference field="0" count="1">
            <x v="0"/>
          </reference>
        </references>
      </pivotArea>
    </format>
    <format dxfId="74">
      <pivotArea collapsedLevelsAreSubtotals="1" fieldPosition="0">
        <references count="2">
          <reference field="4294967294" count="1" selected="0">
            <x v="1"/>
          </reference>
          <reference field="0" count="1">
            <x v="1"/>
          </reference>
        </references>
      </pivotArea>
    </format>
    <format dxfId="73">
      <pivotArea collapsedLevelsAreSubtotals="1" fieldPosition="0">
        <references count="2">
          <reference field="4294967294" count="1" selected="0">
            <x v="1"/>
          </reference>
          <reference field="0" count="1">
            <x v="2"/>
          </reference>
        </references>
      </pivotArea>
    </format>
    <format dxfId="72">
      <pivotArea field="0" grandRow="1" outline="0" collapsedLevelsAreSubtotals="1" axis="axisRow" fieldPosition="0">
        <references count="1">
          <reference field="4294967294" count="1" selected="0">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ustomer Segment"/>
    <pivotHierarchy dragToData="1"/>
    <pivotHierarchy dragToData="1" caption="Avg. Inco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A$1:$N$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ED746D-3ED6-4EFC-A6D2-70452411E753}" name="PivotTable5" cacheId="26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F3:K9"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5">
    <i>
      <x/>
    </i>
    <i>
      <x v="1"/>
    </i>
    <i>
      <x v="2"/>
    </i>
    <i>
      <x v="3"/>
    </i>
    <i t="grand">
      <x/>
    </i>
  </colItems>
  <dataFields count="1">
    <dataField name="Count of CustomerID" fld="2" subtotal="count" baseField="0" baseItem="0"/>
  </dataFields>
  <chartFormats count="8">
    <chartFormat chart="2" format="8" series="1">
      <pivotArea type="data" outline="0" fieldPosition="0">
        <references count="2">
          <reference field="4294967294" count="1" selected="0">
            <x v="0"/>
          </reference>
          <reference field="1" count="1" selected="0">
            <x v="0"/>
          </reference>
        </references>
      </pivotArea>
    </chartFormat>
    <chartFormat chart="2" format="9" series="1">
      <pivotArea type="data" outline="0" fieldPosition="0">
        <references count="2">
          <reference field="4294967294" count="1" selected="0">
            <x v="0"/>
          </reference>
          <reference field="1" count="1" selected="0">
            <x v="1"/>
          </reference>
        </references>
      </pivotArea>
    </chartFormat>
    <chartFormat chart="2" format="10" series="1">
      <pivotArea type="data" outline="0" fieldPosition="0">
        <references count="2">
          <reference field="4294967294" count="1" selected="0">
            <x v="0"/>
          </reference>
          <reference field="1" count="1" selected="0">
            <x v="2"/>
          </reference>
        </references>
      </pivotArea>
    </chartFormat>
    <chartFormat chart="2" format="11" series="1">
      <pivotArea type="data" outline="0" fieldPosition="0">
        <references count="2">
          <reference field="4294967294" count="1" selected="0">
            <x v="0"/>
          </reference>
          <reference field="1" count="1" selected="0">
            <x v="3"/>
          </reference>
        </references>
      </pivotArea>
    </chartFormat>
    <chartFormat chart="5" format="16" series="1">
      <pivotArea type="data" outline="0" fieldPosition="0">
        <references count="2">
          <reference field="4294967294" count="1" selected="0">
            <x v="0"/>
          </reference>
          <reference field="1" count="1" selected="0">
            <x v="0"/>
          </reference>
        </references>
      </pivotArea>
    </chartFormat>
    <chartFormat chart="5" format="17" series="1">
      <pivotArea type="data" outline="0" fieldPosition="0">
        <references count="2">
          <reference field="4294967294" count="1" selected="0">
            <x v="0"/>
          </reference>
          <reference field="1" count="1" selected="0">
            <x v="1"/>
          </reference>
        </references>
      </pivotArea>
    </chartFormat>
    <chartFormat chart="5" format="18" series="1">
      <pivotArea type="data" outline="0" fieldPosition="0">
        <references count="2">
          <reference field="4294967294" count="1" selected="0">
            <x v="0"/>
          </reference>
          <reference field="1" count="1" selected="0">
            <x v="2"/>
          </reference>
        </references>
      </pivotArea>
    </chartFormat>
    <chartFormat chart="5" format="19" series="1">
      <pivotArea type="data" outline="0" fieldPosition="0">
        <references count="2">
          <reference field="4294967294" count="1" selected="0">
            <x v="0"/>
          </reference>
          <reference field="1" count="1" selected="0">
            <x v="3"/>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A$1:$N$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12A7FB-DEB5-477A-B344-D949DAFF7073}" name="PivotTable4" cacheId="26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0">
  <location ref="A3:D9"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Fields count="1">
    <field x="1"/>
  </colFields>
  <colItems count="3">
    <i>
      <x/>
    </i>
    <i>
      <x v="1"/>
    </i>
    <i t="grand">
      <x/>
    </i>
  </colItems>
  <dataFields count="1">
    <dataField name="Count of CustomerID" fld="0" subtotal="count" baseField="0" baseItem="0"/>
  </dataFields>
  <chartFormats count="4">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8" format="8" series="1">
      <pivotArea type="data" outline="0" fieldPosition="0">
        <references count="2">
          <reference field="4294967294" count="1" selected="0">
            <x v="0"/>
          </reference>
          <reference field="1" count="1" selected="0">
            <x v="0"/>
          </reference>
        </references>
      </pivotArea>
    </chartFormat>
    <chartFormat chart="8" format="9" series="1">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A$1:$N$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BD7DA1-2CC2-4ADA-8739-57859370DAAF}" name="PivotTable8" cacheId="25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4">
  <location ref="E12:F1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ID" fld="1" subtotal="count" baseField="0" baseItem="0"/>
  </dataFields>
  <chartFormats count="3">
    <chartFormat chart="2" format="1"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Income"/>
    <pivotHierarchy dragToData="1"/>
    <pivotHierarchy dragToData="1" caption="Sum of Loyalty Rank"/>
    <pivotHierarchy dragToData="1" caption="Count of Loyalty Rank"/>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A$1:$N$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19C585-4475-4448-9FDC-767340D87D73}" name="PivotTable7" cacheId="27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3">
  <location ref="A12:B1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CustomerID" fld="0" subtotal="count" baseField="0" baseItem="0"/>
  </dataFields>
  <chartFormats count="10">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 chart="11" format="26" series="1">
      <pivotArea type="data" outline="0" fieldPosition="0">
        <references count="1">
          <reference field="4294967294" count="1" selected="0">
            <x v="0"/>
          </reference>
        </references>
      </pivotArea>
    </chartFormat>
    <chartFormat chart="11" format="27">
      <pivotArea type="data" outline="0" fieldPosition="0">
        <references count="2">
          <reference field="4294967294" count="1" selected="0">
            <x v="0"/>
          </reference>
          <reference field="1" count="1" selected="0">
            <x v="0"/>
          </reference>
        </references>
      </pivotArea>
    </chartFormat>
    <chartFormat chart="11" format="28">
      <pivotArea type="data" outline="0" fieldPosition="0">
        <references count="2">
          <reference field="4294967294" count="1" selected="0">
            <x v="0"/>
          </reference>
          <reference field="1" count="1" selected="0">
            <x v="1"/>
          </reference>
        </references>
      </pivotArea>
    </chartFormat>
    <chartFormat chart="11" format="29">
      <pivotArea type="data" outline="0" fieldPosition="0">
        <references count="2">
          <reference field="4294967294" count="1" selected="0">
            <x v="0"/>
          </reference>
          <reference field="1" count="1" selected="0">
            <x v="2"/>
          </reference>
        </references>
      </pivotArea>
    </chartFormat>
    <chartFormat chart="11" format="30">
      <pivotArea type="data" outline="0" fieldPosition="0">
        <references count="2">
          <reference field="4294967294" count="1" selected="0">
            <x v="0"/>
          </reference>
          <reference field="1" count="1" selected="0">
            <x v="3"/>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Inco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A$1:$N$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C46BBE-0007-41B0-9CAE-360AB9633591}" name="PivotTable4" cacheId="27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1">
  <location ref="A3:B9"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i>
    <i>
      <x v="1"/>
    </i>
    <i>
      <x v="3"/>
    </i>
    <i>
      <x v="4"/>
    </i>
    <i t="grand">
      <x/>
    </i>
  </rowItems>
  <colItems count="1">
    <i/>
  </colItems>
  <dataFields count="1">
    <dataField name="Max of Tenure Year" fld="1" subtotal="max" baseField="0" baseItem="0"/>
  </dataField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Max of Tenure Year"/>
    <pivotHierarchy dragToData="1"/>
  </pivotHierarchies>
  <pivotTableStyleInfo name="PivotStyleLight16" showRowHeaders="1" showColHeaders="1" showRowStripes="0" showColStripes="0" showLastColumn="1"/>
  <filters count="1">
    <filter fld="0" type="count" id="3" iMeasureHier="39">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1 Task.xlsx!Table1">
        <x15:activeTabTopLevelEntity name="[Table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D7C749-2294-41CC-A64F-089B5441E56C}" name="PivotTable3" cacheId="26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Income" fld="0" baseField="0" baseItem="0"/>
  </dataFields>
  <formats count="3">
    <format dxfId="62">
      <pivotArea type="all" dataOnly="0" outline="0" fieldPosition="0"/>
    </format>
    <format dxfId="61">
      <pivotArea outline="0" collapsedLevelsAreSubtotals="1" fieldPosition="0"/>
    </format>
    <format dxfId="60">
      <pivotArea dataOnly="0" labelOnly="1" outline="0" axis="axisValues" fieldPosition="0"/>
    </format>
  </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Customers"/>
    <pivotHierarchy dragToData="1" caption="Total Income"/>
    <pivotHierarchy dragToData="1" caption="Average Inco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A$1:$N$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EF806E-CB5C-4C73-B1E0-951E1DF2E91F}" name="PivotTable4" cacheId="10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G4" firstHeaderRow="1" firstDataRow="1" firstDataCol="0"/>
  <pivotFields count="1">
    <pivotField dataField="1" subtotalTop="0" showAll="0" defaultSubtotal="0"/>
  </pivotFields>
  <rowItems count="1">
    <i/>
  </rowItems>
  <colItems count="1">
    <i/>
  </colItems>
  <dataFields count="1">
    <dataField name="Average of Tenure Year" fld="0" subtotal="average" baseField="0" baseItem="0"/>
  </dataFields>
  <formats count="2">
    <format dxfId="64">
      <pivotArea dataOnly="0" labelOnly="1" outline="0" axis="axisValues" fieldPosition="0"/>
    </format>
    <format dxfId="63">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enure Year"/>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y 1 Task.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33C0F3-B30A-4679-8058-50DA28AEFC59}" name="PivotTable2" cacheId="25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Income" fld="0" subtotal="average" baseField="0" baseItem="0" numFmtId="164"/>
  </dataFields>
  <formats count="3">
    <format dxfId="67">
      <pivotArea type="all" dataOnly="0" outline="0" fieldPosition="0"/>
    </format>
    <format dxfId="66">
      <pivotArea outline="0" collapsedLevelsAreSubtotals="1" fieldPosition="0"/>
    </format>
    <format dxfId="65">
      <pivotArea dataOnly="0" labelOnly="1" outline="0" axis="axisValues" fieldPosition="0"/>
    </format>
  </format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Customers"/>
    <pivotHierarchy dragToData="1"/>
    <pivotHierarchy dragToData="1" caption="Average Inco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A$1:$N$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A05874-4D7C-4A90-B99E-FC7B5E5209AE}" name="PivotTable1" cacheId="25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 fld="0" subtotal="count" baseField="0" baseItem="0"/>
  </dataFields>
  <pivotHierarchies count="4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Custome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A$1:$N$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8D237A4B-BFCC-4BEA-A927-4B34B9BCE56E}" sourceName="[Range].[Occupation]">
  <pivotTables>
    <pivotTable tabId="3" name="PivotTable4"/>
    <pivotTable tabId="2" name="PivotTable1"/>
    <pivotTable tabId="2" name="PivotTable2"/>
    <pivotTable tabId="2" name="PivotTable3"/>
    <pivotTable tabId="3" name="PivotTable5"/>
    <pivotTable tabId="3" name="PivotTable6"/>
    <pivotTable tabId="3" name="PivotTable7"/>
    <pivotTable tabId="3" name="PivotTable8"/>
    <pivotTable tabId="6" name="PivotTable4"/>
  </pivotTables>
  <data>
    <olap pivotCacheId="1860992772">
      <levels count="2">
        <level uniqueName="[Range].[Occupation].[(All)]" sourceCaption="(All)" count="0"/>
        <level uniqueName="[Range].[Occupation].[Occupation]" sourceCaption="Occupation" count="7">
          <ranges>
            <range startItem="0">
              <i n="[Range].[Occupation].&amp;[Banker]" c="Banker"/>
              <i n="[Range].[Occupation].&amp;[Doctor]" c="Doctor"/>
              <i n="[Range].[Occupation].&amp;[Engineer]" c="Engineer"/>
              <i n="[Range].[Occupation].&amp;[Retired]" c="Retired"/>
              <i n="[Range].[Occupation].&amp;[Student]" c="Student"/>
              <i n="[Range].[Occupation].&amp;[Teacher]" c="Teacher"/>
              <i n="[Range].[Occupation].&amp;[Trader]" c="Trader"/>
            </range>
          </ranges>
        </level>
      </levels>
      <selections count="1">
        <selection n="[Range].[Occupa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64202EE-ACD2-45EA-B4EA-33E3E6759F5F}" sourceName="[Range].[Gender]">
  <pivotTables>
    <pivotTable tabId="3" name="PivotTable8"/>
    <pivotTable tabId="2" name="PivotTable1"/>
    <pivotTable tabId="2" name="PivotTable2"/>
    <pivotTable tabId="2" name="PivotTable3"/>
    <pivotTable tabId="3" name="PivotTable4"/>
    <pivotTable tabId="3" name="PivotTable5"/>
    <pivotTable tabId="3" name="PivotTable6"/>
    <pivotTable tabId="3" name="PivotTable7"/>
    <pivotTable tabId="6" name="PivotTable4"/>
  </pivotTables>
  <data>
    <olap pivotCacheId="1860992772">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1" xr10:uid="{3E1AE221-2C6A-4573-846C-0E7D3FD9B1AE}" cache="Slicer_Occupation" caption="Occupation" columnCount="7" showCaption="0" level="1" style="SlicerStyleDark6 2" rowHeight="241300"/>
  <slicer name="Gender 1" xr10:uid="{F80B56FB-32B6-43C3-B75C-96BCC9FAD199}" cache="Slicer_Gender" caption="Gender" showCaption="0" level="1" style="SlicerStyleDark6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457E2A9-5BB0-4ABF-B045-C0071FE577C9}" cache="Slicer_Gender" caption="Gender" columnCount="2"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33EFED-EB8F-4D8B-AC5D-0C941BC3FC49}" name="Table1" displayName="Table1" ref="A1:N501" totalsRowShown="0">
  <autoFilter ref="A1:N501" xr:uid="{8833EFED-EB8F-4D8B-AC5D-0C941BC3FC49}"/>
  <tableColumns count="14">
    <tableColumn id="1" xr3:uid="{0F5A2D0E-9AF4-4EE2-9C9F-E784E2634AAE}" name="CustomerID"/>
    <tableColumn id="2" xr3:uid="{B38E6255-8172-411D-8570-47CC5837A7C7}" name="Name"/>
    <tableColumn id="3" xr3:uid="{185C20F3-9ADB-432E-8942-711A1DB02E64}" name="Gender"/>
    <tableColumn id="4" xr3:uid="{D92C0CFE-9105-499C-A6D8-C659FE86BA4C}" name="Age"/>
    <tableColumn id="5" xr3:uid="{4214B0D7-0B66-4C23-98FD-354EBD3F2B1C}" name="Region"/>
    <tableColumn id="6" xr3:uid="{C3BED95F-E939-48E1-BB31-C6E899431293}" name="Occupation"/>
    <tableColumn id="7" xr3:uid="{5B5992DF-8AF3-48B1-999F-42ACF7ACFAB4}" name="Income" dataDxfId="71"/>
    <tableColumn id="8" xr3:uid="{38E54562-A572-4651-BD53-6EE49DF3275B}" name="Customer_Segment"/>
    <tableColumn id="9" xr3:uid="{40049C03-24B3-403C-8479-55B19308687F}" name="Join_Date" dataDxfId="70"/>
    <tableColumn id="10" xr3:uid="{7A059EE1-41EE-41E0-88BF-1B6657E96CC7}" name="Age_group">
      <calculatedColumnFormula>IF(D2&lt;=28, "Gen Z",IF(D2&lt;=44,"Millennials",IF(D2&lt;=60, "Gen X","Boomers")))</calculatedColumnFormula>
    </tableColumn>
    <tableColumn id="11" xr3:uid="{8D8EB56A-2A7E-4BDC-B417-2EF11491E04E}" name="Income Bracket">
      <calculatedColumnFormula array="1">_xlfn.IFS(G2&lt;=50000,"Low",G2&lt;=100000,"Medium",G2&lt;=150000,"High",G2&gt;=150001,"Premium")</calculatedColumnFormula>
    </tableColumn>
    <tableColumn id="12" xr3:uid="{086EC1D4-8F54-4D77-975F-3B91BAE2047B}" name="Tenure Year" dataDxfId="69">
      <calculatedColumnFormula>YEAR(TODAY())-YEAR(I2)-(DATE(YEAR(TODAY()),MONTH(I2),DAY(I2))&gt;TODAY())</calculatedColumnFormula>
    </tableColumn>
    <tableColumn id="13" xr3:uid="{A20E3B08-573A-4B33-9CC1-E8E72B3A2010}" name="Tenure Band">
      <calculatedColumnFormula>IF(L2&lt;1,"0-1yr",IF(L2&lt;3,"1-3yrs",IF(L2&lt;5,"3-5yrs","5yrs +")))</calculatedColumnFormula>
    </tableColumn>
    <tableColumn id="14" xr3:uid="{66219258-C157-47E8-938F-E16F2A1D1A45}" name="Loyalty Rank" dataDxfId="68">
      <calculatedColumnFormula>COUNTIFS($L$2:$L$501,"&gt;"&amp;L2)+1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C9803-75A0-45F2-AD53-90F5859C5F52}">
  <dimension ref="A1"/>
  <sheetViews>
    <sheetView tabSelected="1" zoomScale="59" zoomScaleNormal="59" workbookViewId="0">
      <selection activeCell="AC33" sqref="AC33"/>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2EEBD-AE89-4C5B-AD65-8FD439115058}">
  <dimension ref="A2:T17"/>
  <sheetViews>
    <sheetView workbookViewId="0">
      <selection activeCell="B4" sqref="B4:B9"/>
    </sheetView>
  </sheetViews>
  <sheetFormatPr defaultRowHeight="14.5" x14ac:dyDescent="0.35"/>
  <cols>
    <col min="1" max="1" width="12.36328125" bestFit="1" customWidth="1"/>
    <col min="2" max="2" width="18.7265625" bestFit="1" customWidth="1"/>
    <col min="3" max="3" width="5" bestFit="1" customWidth="1"/>
    <col min="4" max="4" width="10.7265625" bestFit="1" customWidth="1"/>
    <col min="5" max="5" width="12.36328125" bestFit="1" customWidth="1"/>
    <col min="6" max="6" width="18.7265625" bestFit="1" customWidth="1"/>
    <col min="7" max="7" width="15.26953125" bestFit="1" customWidth="1"/>
    <col min="8" max="8" width="4.1796875" bestFit="1" customWidth="1"/>
    <col min="9" max="9" width="7.81640625" bestFit="1" customWidth="1"/>
    <col min="10" max="10" width="8.453125" bestFit="1" customWidth="1"/>
    <col min="11" max="11" width="10.7265625" bestFit="1" customWidth="1"/>
    <col min="12" max="12" width="13.08984375" customWidth="1"/>
    <col min="13" max="13" width="12.36328125" bestFit="1" customWidth="1"/>
    <col min="14" max="14" width="16.81640625" bestFit="1" customWidth="1"/>
    <col min="15" max="15" width="11" bestFit="1" customWidth="1"/>
    <col min="16" max="16" width="2.81640625" bestFit="1" customWidth="1"/>
    <col min="17" max="18" width="10.7265625" bestFit="1" customWidth="1"/>
  </cols>
  <sheetData>
    <row r="2" spans="1:20" x14ac:dyDescent="0.35">
      <c r="A2" t="s">
        <v>1054</v>
      </c>
      <c r="F2" t="s">
        <v>1043</v>
      </c>
      <c r="I2" t="s">
        <v>1049</v>
      </c>
      <c r="M2" t="s">
        <v>1053</v>
      </c>
    </row>
    <row r="3" spans="1:20" x14ac:dyDescent="0.35">
      <c r="A3" s="4" t="s">
        <v>1031</v>
      </c>
      <c r="B3" s="4" t="s">
        <v>1034</v>
      </c>
      <c r="F3" s="4" t="s">
        <v>1031</v>
      </c>
      <c r="G3" s="4" t="s">
        <v>1034</v>
      </c>
      <c r="M3" s="4" t="s">
        <v>1029</v>
      </c>
      <c r="N3" t="s">
        <v>1051</v>
      </c>
      <c r="O3" t="s">
        <v>1052</v>
      </c>
      <c r="R3" t="str">
        <f>S3</f>
        <v>Customer Segment</v>
      </c>
      <c r="S3" t="str">
        <f>N3</f>
        <v>Customer Segment</v>
      </c>
      <c r="T3" t="str">
        <f>O3</f>
        <v>Avg. Income</v>
      </c>
    </row>
    <row r="4" spans="1:20" x14ac:dyDescent="0.35">
      <c r="A4" s="4" t="s">
        <v>1029</v>
      </c>
      <c r="B4" t="s">
        <v>17</v>
      </c>
      <c r="C4" t="s">
        <v>11</v>
      </c>
      <c r="D4" t="s">
        <v>1030</v>
      </c>
      <c r="F4" s="4" t="s">
        <v>1029</v>
      </c>
      <c r="G4" t="s">
        <v>1039</v>
      </c>
      <c r="H4" t="s">
        <v>1040</v>
      </c>
      <c r="I4" t="s">
        <v>1041</v>
      </c>
      <c r="J4" t="s">
        <v>1042</v>
      </c>
      <c r="K4" t="s">
        <v>1030</v>
      </c>
      <c r="M4" s="5" t="s">
        <v>24</v>
      </c>
      <c r="N4" s="6">
        <v>45</v>
      </c>
      <c r="O4" s="2">
        <v>118774.17777777778</v>
      </c>
      <c r="R4" t="str">
        <f>M4</f>
        <v>Private</v>
      </c>
      <c r="S4">
        <f>N4</f>
        <v>45</v>
      </c>
      <c r="T4" s="2">
        <f>O4</f>
        <v>118774.17777777778</v>
      </c>
    </row>
    <row r="5" spans="1:20" x14ac:dyDescent="0.35">
      <c r="A5" s="5" t="s">
        <v>18</v>
      </c>
      <c r="B5" s="6">
        <v>71</v>
      </c>
      <c r="C5" s="6">
        <v>62</v>
      </c>
      <c r="D5" s="6">
        <v>133</v>
      </c>
      <c r="F5" s="5" t="s">
        <v>1035</v>
      </c>
      <c r="G5" s="6">
        <v>40</v>
      </c>
      <c r="H5" s="6">
        <v>13</v>
      </c>
      <c r="I5" s="6">
        <v>36</v>
      </c>
      <c r="J5" s="6">
        <v>37</v>
      </c>
      <c r="K5" s="6">
        <v>126</v>
      </c>
      <c r="M5" s="5" t="s">
        <v>14</v>
      </c>
      <c r="N5" s="6">
        <v>286</v>
      </c>
      <c r="O5" s="2">
        <v>114590.12587412588</v>
      </c>
      <c r="R5" t="str">
        <f t="shared" ref="R5:R6" si="0">M5</f>
        <v>Retail</v>
      </c>
      <c r="S5">
        <f t="shared" ref="S5:S6" si="1">N5</f>
        <v>286</v>
      </c>
      <c r="T5" s="2">
        <f t="shared" ref="T5:T6" si="2">O5</f>
        <v>114590.12587412588</v>
      </c>
    </row>
    <row r="6" spans="1:20" x14ac:dyDescent="0.35">
      <c r="A6" s="5" t="s">
        <v>12</v>
      </c>
      <c r="B6" s="6">
        <v>57</v>
      </c>
      <c r="C6" s="6">
        <v>63</v>
      </c>
      <c r="D6" s="6">
        <v>120</v>
      </c>
      <c r="F6" s="5" t="s">
        <v>1036</v>
      </c>
      <c r="G6" s="6">
        <v>33</v>
      </c>
      <c r="H6" s="6">
        <v>18</v>
      </c>
      <c r="I6" s="6">
        <v>42</v>
      </c>
      <c r="J6" s="6">
        <v>48</v>
      </c>
      <c r="K6" s="6">
        <v>141</v>
      </c>
      <c r="M6" s="5" t="s">
        <v>20</v>
      </c>
      <c r="N6" s="6">
        <v>169</v>
      </c>
      <c r="O6" s="2">
        <v>112910.04142011834</v>
      </c>
      <c r="R6" t="str">
        <f t="shared" si="0"/>
        <v>Corporate</v>
      </c>
      <c r="S6">
        <f t="shared" si="1"/>
        <v>169</v>
      </c>
      <c r="T6" s="2">
        <f t="shared" si="2"/>
        <v>112910.04142011834</v>
      </c>
    </row>
    <row r="7" spans="1:20" x14ac:dyDescent="0.35">
      <c r="A7" s="5" t="s">
        <v>34</v>
      </c>
      <c r="B7" s="6">
        <v>70</v>
      </c>
      <c r="C7" s="6">
        <v>67</v>
      </c>
      <c r="D7" s="6">
        <v>137</v>
      </c>
      <c r="F7" s="5" t="s">
        <v>1037</v>
      </c>
      <c r="G7" s="6">
        <v>22</v>
      </c>
      <c r="H7" s="6">
        <v>12</v>
      </c>
      <c r="I7" s="6">
        <v>29</v>
      </c>
      <c r="J7" s="6">
        <v>23</v>
      </c>
      <c r="K7" s="6">
        <v>86</v>
      </c>
      <c r="M7" s="5" t="s">
        <v>1030</v>
      </c>
      <c r="N7" s="6">
        <v>500</v>
      </c>
      <c r="O7" s="2">
        <v>114398.822</v>
      </c>
    </row>
    <row r="8" spans="1:20" x14ac:dyDescent="0.35">
      <c r="A8" s="5" t="s">
        <v>30</v>
      </c>
      <c r="B8" s="6">
        <v>58</v>
      </c>
      <c r="C8" s="6">
        <v>52</v>
      </c>
      <c r="D8" s="6">
        <v>110</v>
      </c>
      <c r="F8" s="5" t="s">
        <v>1038</v>
      </c>
      <c r="G8" s="6">
        <v>41</v>
      </c>
      <c r="H8" s="6">
        <v>28</v>
      </c>
      <c r="I8" s="6">
        <v>33</v>
      </c>
      <c r="J8" s="6">
        <v>45</v>
      </c>
      <c r="K8" s="6">
        <v>147</v>
      </c>
    </row>
    <row r="9" spans="1:20" x14ac:dyDescent="0.35">
      <c r="A9" s="5" t="s">
        <v>1030</v>
      </c>
      <c r="B9" s="6">
        <v>256</v>
      </c>
      <c r="C9" s="6">
        <v>244</v>
      </c>
      <c r="D9" s="6">
        <v>500</v>
      </c>
      <c r="F9" s="5" t="s">
        <v>1030</v>
      </c>
      <c r="G9" s="6">
        <v>136</v>
      </c>
      <c r="H9" s="6">
        <v>71</v>
      </c>
      <c r="I9" s="6">
        <v>140</v>
      </c>
      <c r="J9" s="6">
        <v>153</v>
      </c>
      <c r="K9" s="6">
        <v>500</v>
      </c>
    </row>
    <row r="11" spans="1:20" x14ac:dyDescent="0.35">
      <c r="A11" s="5" t="s">
        <v>1044</v>
      </c>
    </row>
    <row r="12" spans="1:20" x14ac:dyDescent="0.35">
      <c r="A12" s="4" t="s">
        <v>1029</v>
      </c>
      <c r="B12" t="s">
        <v>1031</v>
      </c>
      <c r="E12" s="4" t="s">
        <v>1029</v>
      </c>
      <c r="F12" t="s">
        <v>1031</v>
      </c>
    </row>
    <row r="13" spans="1:20" x14ac:dyDescent="0.35">
      <c r="A13" s="5" t="s">
        <v>18</v>
      </c>
      <c r="B13" s="6">
        <v>133</v>
      </c>
      <c r="E13" s="5" t="s">
        <v>1045</v>
      </c>
      <c r="F13" s="6">
        <v>41</v>
      </c>
    </row>
    <row r="14" spans="1:20" x14ac:dyDescent="0.35">
      <c r="A14" s="5" t="s">
        <v>12</v>
      </c>
      <c r="B14" s="6">
        <v>120</v>
      </c>
      <c r="E14" s="5" t="s">
        <v>1046</v>
      </c>
      <c r="F14" s="6">
        <v>103</v>
      </c>
    </row>
    <row r="15" spans="1:20" x14ac:dyDescent="0.35">
      <c r="A15" s="5" t="s">
        <v>34</v>
      </c>
      <c r="B15" s="6">
        <v>137</v>
      </c>
      <c r="E15" s="5" t="s">
        <v>1047</v>
      </c>
      <c r="F15" s="6">
        <v>100</v>
      </c>
    </row>
    <row r="16" spans="1:20" x14ac:dyDescent="0.35">
      <c r="A16" s="5" t="s">
        <v>30</v>
      </c>
      <c r="B16" s="6">
        <v>110</v>
      </c>
      <c r="E16" s="5" t="s">
        <v>1048</v>
      </c>
      <c r="F16" s="6">
        <v>256</v>
      </c>
    </row>
    <row r="17" spans="1:6" x14ac:dyDescent="0.35">
      <c r="A17" s="5" t="s">
        <v>1030</v>
      </c>
      <c r="B17" s="6">
        <v>500</v>
      </c>
      <c r="E17" s="5" t="s">
        <v>1030</v>
      </c>
      <c r="F17" s="6">
        <v>500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A1E64-E40D-4C9C-BF0B-794C863B72EE}">
  <dimension ref="A1"/>
  <sheetViews>
    <sheetView zoomScale="81" zoomScaleNormal="81" workbookViewId="0">
      <selection activeCell="N20" sqref="N20"/>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F61D8-337B-4EFB-9157-B9F308633396}">
  <dimension ref="A3:B9"/>
  <sheetViews>
    <sheetView workbookViewId="0">
      <selection activeCell="B4" sqref="B4"/>
    </sheetView>
  </sheetViews>
  <sheetFormatPr defaultRowHeight="14.5" x14ac:dyDescent="0.35"/>
  <cols>
    <col min="1" max="1" width="17.1796875" bestFit="1" customWidth="1"/>
    <col min="2" max="2" width="17.36328125" bestFit="1" customWidth="1"/>
  </cols>
  <sheetData>
    <row r="3" spans="1:2" x14ac:dyDescent="0.35">
      <c r="A3" s="4" t="s">
        <v>1029</v>
      </c>
      <c r="B3" t="s">
        <v>1050</v>
      </c>
    </row>
    <row r="4" spans="1:2" x14ac:dyDescent="0.35">
      <c r="A4" s="5" t="s">
        <v>208</v>
      </c>
      <c r="B4" s="6">
        <v>9</v>
      </c>
    </row>
    <row r="5" spans="1:2" x14ac:dyDescent="0.35">
      <c r="A5" s="5" t="s">
        <v>456</v>
      </c>
      <c r="B5" s="6">
        <v>9</v>
      </c>
    </row>
    <row r="6" spans="1:2" x14ac:dyDescent="0.35">
      <c r="A6" s="5" t="s">
        <v>104</v>
      </c>
      <c r="B6" s="6">
        <v>9</v>
      </c>
    </row>
    <row r="7" spans="1:2" x14ac:dyDescent="0.35">
      <c r="A7" s="5" t="s">
        <v>640</v>
      </c>
      <c r="B7" s="6">
        <v>10</v>
      </c>
    </row>
    <row r="8" spans="1:2" x14ac:dyDescent="0.35">
      <c r="A8" s="5" t="s">
        <v>204</v>
      </c>
      <c r="B8" s="6">
        <v>10</v>
      </c>
    </row>
    <row r="9" spans="1:2" x14ac:dyDescent="0.35">
      <c r="A9" s="5" t="s">
        <v>1030</v>
      </c>
      <c r="B9" s="6">
        <v>10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1"/>
  <sheetViews>
    <sheetView topLeftCell="E1" zoomScale="83" zoomScaleNormal="83" workbookViewId="0">
      <selection activeCell="P2" sqref="P2"/>
    </sheetView>
  </sheetViews>
  <sheetFormatPr defaultRowHeight="14.5" x14ac:dyDescent="0.35"/>
  <cols>
    <col min="1" max="1" width="15.7265625" customWidth="1"/>
    <col min="2" max="2" width="28.7265625" customWidth="1"/>
    <col min="3" max="3" width="12.26953125" customWidth="1"/>
    <col min="4" max="4" width="12.453125" customWidth="1"/>
    <col min="5" max="5" width="11.26953125" customWidth="1"/>
    <col min="6" max="6" width="12.36328125" customWidth="1"/>
    <col min="7" max="7" width="15.26953125" style="2" customWidth="1"/>
    <col min="8" max="8" width="19.26953125" customWidth="1"/>
    <col min="9" max="9" width="16.26953125" customWidth="1"/>
    <col min="10" max="10" width="12.08984375" customWidth="1"/>
    <col min="11" max="11" width="15.81640625" customWidth="1"/>
    <col min="12" max="12" width="12.90625" customWidth="1"/>
    <col min="13" max="13" width="13.453125" customWidth="1"/>
    <col min="14" max="14" width="14.1796875" customWidth="1"/>
    <col min="16" max="16" width="10.7265625" customWidth="1"/>
  </cols>
  <sheetData>
    <row r="1" spans="1:16" x14ac:dyDescent="0.35">
      <c r="A1" t="s">
        <v>0</v>
      </c>
      <c r="B1" t="s">
        <v>1</v>
      </c>
      <c r="C1" t="s">
        <v>2</v>
      </c>
      <c r="D1" t="s">
        <v>3</v>
      </c>
      <c r="E1" t="s">
        <v>4</v>
      </c>
      <c r="F1" t="s">
        <v>5</v>
      </c>
      <c r="G1" s="2" t="s">
        <v>6</v>
      </c>
      <c r="H1" t="s">
        <v>7</v>
      </c>
      <c r="I1" t="s">
        <v>8</v>
      </c>
      <c r="J1" t="s">
        <v>1024</v>
      </c>
      <c r="K1" t="s">
        <v>1025</v>
      </c>
      <c r="L1" t="s">
        <v>1026</v>
      </c>
      <c r="M1" t="s">
        <v>1027</v>
      </c>
      <c r="N1" t="s">
        <v>1028</v>
      </c>
    </row>
    <row r="2" spans="1:16" x14ac:dyDescent="0.35">
      <c r="A2" t="s">
        <v>9</v>
      </c>
      <c r="B2" t="s">
        <v>10</v>
      </c>
      <c r="C2" t="s">
        <v>11</v>
      </c>
      <c r="D2">
        <v>38</v>
      </c>
      <c r="E2" t="s">
        <v>12</v>
      </c>
      <c r="F2" t="s">
        <v>13</v>
      </c>
      <c r="G2" s="2">
        <v>191672</v>
      </c>
      <c r="H2" t="s">
        <v>14</v>
      </c>
      <c r="I2" s="1">
        <v>45041</v>
      </c>
      <c r="J2" t="str">
        <f t="shared" ref="J2:J65" si="0">IF(D2&lt;=28, "Gen Z",IF(D2&lt;=44,"Millennials",IF(D2&lt;=60, "Gen X","Boomers")))</f>
        <v>Millennials</v>
      </c>
      <c r="K2" t="str" cm="1">
        <f t="array" ref="K2">_xlfn.IFS(G2&lt;=50000,"Low",G2&lt;=100000,"Medium",G2&lt;=150000,"High",G2&gt;=150001,"Premium")</f>
        <v>Premium</v>
      </c>
      <c r="L2" s="3">
        <f ca="1">YEAR(TODAY())-YEAR(I2)-(DATE(YEAR(TODAY()),MONTH(I2),DAY(I2))&gt;TODAY())</f>
        <v>2</v>
      </c>
      <c r="M2" t="str">
        <f t="shared" ref="M2:M65" ca="1" si="1">IF(L2&lt;1,"0-1yr",IF(L2&lt;3,"1-3yrs",IF(L2&lt;5,"3-5yrs","5yrs +")))</f>
        <v>1-3yrs</v>
      </c>
      <c r="N2" s="3">
        <f t="shared" ref="N2:N65" ca="1" si="2">COUNTIFS($L$2:$L$501,"&gt;"&amp;L2)+1</f>
        <v>367</v>
      </c>
      <c r="P2" s="1"/>
    </row>
    <row r="3" spans="1:16" x14ac:dyDescent="0.35">
      <c r="A3" t="s">
        <v>15</v>
      </c>
      <c r="B3" t="s">
        <v>16</v>
      </c>
      <c r="C3" t="s">
        <v>17</v>
      </c>
      <c r="D3">
        <v>49</v>
      </c>
      <c r="E3" t="s">
        <v>18</v>
      </c>
      <c r="F3" t="s">
        <v>19</v>
      </c>
      <c r="G3" s="2">
        <v>186472</v>
      </c>
      <c r="H3" t="s">
        <v>20</v>
      </c>
      <c r="I3" s="1">
        <v>44331</v>
      </c>
      <c r="J3" t="str">
        <f t="shared" si="0"/>
        <v>Gen X</v>
      </c>
      <c r="K3" t="str" cm="1">
        <f t="array" ref="K3">_xlfn.IFS(G3&lt;=50000,"Low",G3&lt;=100000,"Medium",G3&lt;=150000,"High",G3&gt;=150001,"Premium")</f>
        <v>Premium</v>
      </c>
      <c r="L3" s="3">
        <f t="shared" ref="L3:L65" ca="1" si="3">YEAR(TODAY())-YEAR(I3)-(DATE(YEAR(TODAY()),MONTH(I3),DAY(I3))&gt;TODAY())</f>
        <v>4</v>
      </c>
      <c r="M3" t="str">
        <f t="shared" ca="1" si="1"/>
        <v>3-5yrs</v>
      </c>
      <c r="N3" s="3">
        <f t="shared" ca="1" si="2"/>
        <v>273</v>
      </c>
    </row>
    <row r="4" spans="1:16" x14ac:dyDescent="0.35">
      <c r="A4" t="s">
        <v>21</v>
      </c>
      <c r="B4" t="s">
        <v>22</v>
      </c>
      <c r="C4" t="s">
        <v>11</v>
      </c>
      <c r="D4">
        <v>40</v>
      </c>
      <c r="E4" t="s">
        <v>12</v>
      </c>
      <c r="F4" t="s">
        <v>23</v>
      </c>
      <c r="G4" s="2">
        <v>155566</v>
      </c>
      <c r="H4" t="s">
        <v>24</v>
      </c>
      <c r="I4" s="1">
        <v>43438</v>
      </c>
      <c r="J4" t="str">
        <f t="shared" si="0"/>
        <v>Millennials</v>
      </c>
      <c r="K4" t="str" cm="1">
        <f t="array" ref="K4">_xlfn.IFS(G4&lt;=50000,"Low",G4&lt;=100000,"Medium",G4&lt;=150000,"High",G4&gt;=150001,"Premium")</f>
        <v>Premium</v>
      </c>
      <c r="L4" s="3">
        <f t="shared" ca="1" si="3"/>
        <v>6</v>
      </c>
      <c r="M4" t="str">
        <f t="shared" ca="1" si="1"/>
        <v>5yrs +</v>
      </c>
      <c r="N4" s="3">
        <f t="shared" ca="1" si="2"/>
        <v>169</v>
      </c>
    </row>
    <row r="5" spans="1:16" x14ac:dyDescent="0.35">
      <c r="A5" t="s">
        <v>25</v>
      </c>
      <c r="B5" t="s">
        <v>26</v>
      </c>
      <c r="C5" t="s">
        <v>11</v>
      </c>
      <c r="D5">
        <v>50</v>
      </c>
      <c r="E5" t="s">
        <v>12</v>
      </c>
      <c r="F5" t="s">
        <v>27</v>
      </c>
      <c r="G5" s="2">
        <v>142744</v>
      </c>
      <c r="H5" t="s">
        <v>14</v>
      </c>
      <c r="I5" s="1">
        <v>44494</v>
      </c>
      <c r="J5" t="str">
        <f t="shared" si="0"/>
        <v>Gen X</v>
      </c>
      <c r="K5" t="str" cm="1">
        <f t="array" ref="K5">_xlfn.IFS(G5&lt;=50000,"Low",G5&lt;=100000,"Medium",G5&lt;=150000,"High",G5&gt;=150001,"Premium")</f>
        <v>High</v>
      </c>
      <c r="L5" s="3">
        <f t="shared" ca="1" si="3"/>
        <v>4</v>
      </c>
      <c r="M5" t="str">
        <f t="shared" ca="1" si="1"/>
        <v>3-5yrs</v>
      </c>
      <c r="N5" s="3">
        <f t="shared" ca="1" si="2"/>
        <v>273</v>
      </c>
    </row>
    <row r="6" spans="1:16" x14ac:dyDescent="0.35">
      <c r="A6" t="s">
        <v>28</v>
      </c>
      <c r="B6" t="s">
        <v>29</v>
      </c>
      <c r="C6" t="s">
        <v>11</v>
      </c>
      <c r="D6">
        <v>20</v>
      </c>
      <c r="E6" t="s">
        <v>30</v>
      </c>
      <c r="F6" t="s">
        <v>31</v>
      </c>
      <c r="G6" s="2">
        <v>109431</v>
      </c>
      <c r="H6" t="s">
        <v>20</v>
      </c>
      <c r="I6" s="1">
        <v>43309</v>
      </c>
      <c r="J6" t="str">
        <f t="shared" si="0"/>
        <v>Gen Z</v>
      </c>
      <c r="K6" t="str" cm="1">
        <f t="array" ref="K6">_xlfn.IFS(G6&lt;=50000,"Low",G6&lt;=100000,"Medium",G6&lt;=150000,"High",G6&gt;=150001,"Premium")</f>
        <v>High</v>
      </c>
      <c r="L6" s="3">
        <f t="shared" ca="1" si="3"/>
        <v>7</v>
      </c>
      <c r="M6" t="str">
        <f t="shared" ca="1" si="1"/>
        <v>5yrs +</v>
      </c>
      <c r="N6" s="3">
        <f t="shared" ca="1" si="2"/>
        <v>118</v>
      </c>
      <c r="P6" s="1"/>
    </row>
    <row r="7" spans="1:16" x14ac:dyDescent="0.35">
      <c r="A7" t="s">
        <v>32</v>
      </c>
      <c r="B7" t="s">
        <v>33</v>
      </c>
      <c r="C7" t="s">
        <v>17</v>
      </c>
      <c r="D7">
        <v>35</v>
      </c>
      <c r="E7" t="s">
        <v>34</v>
      </c>
      <c r="F7" t="s">
        <v>23</v>
      </c>
      <c r="G7" s="2">
        <v>63001</v>
      </c>
      <c r="H7" t="s">
        <v>14</v>
      </c>
      <c r="I7" s="1">
        <v>42520</v>
      </c>
      <c r="J7" t="str">
        <f t="shared" si="0"/>
        <v>Millennials</v>
      </c>
      <c r="K7" t="str" cm="1">
        <f t="array" ref="K7">_xlfn.IFS(G7&lt;=50000,"Low",G7&lt;=100000,"Medium",G7&lt;=150000,"High",G7&gt;=150001,"Premium")</f>
        <v>Medium</v>
      </c>
      <c r="L7" s="3">
        <f t="shared" ca="1" si="3"/>
        <v>9</v>
      </c>
      <c r="M7" t="str">
        <f t="shared" ca="1" si="1"/>
        <v>5yrs +</v>
      </c>
      <c r="N7" s="3">
        <f t="shared" ca="1" si="2"/>
        <v>17</v>
      </c>
    </row>
    <row r="8" spans="1:16" x14ac:dyDescent="0.35">
      <c r="A8" t="s">
        <v>35</v>
      </c>
      <c r="B8" t="s">
        <v>36</v>
      </c>
      <c r="C8" t="s">
        <v>11</v>
      </c>
      <c r="D8">
        <v>42</v>
      </c>
      <c r="E8" t="s">
        <v>12</v>
      </c>
      <c r="F8" t="s">
        <v>37</v>
      </c>
      <c r="G8" s="2">
        <v>87364</v>
      </c>
      <c r="H8" t="s">
        <v>20</v>
      </c>
      <c r="I8" s="1">
        <v>43026</v>
      </c>
      <c r="J8" t="str">
        <f t="shared" si="0"/>
        <v>Millennials</v>
      </c>
      <c r="K8" t="str" cm="1">
        <f t="array" ref="K8">_xlfn.IFS(G8&lt;=50000,"Low",G8&lt;=100000,"Medium",G8&lt;=150000,"High",G8&gt;=150001,"Premium")</f>
        <v>Medium</v>
      </c>
      <c r="L8" s="3">
        <f t="shared" ca="1" si="3"/>
        <v>8</v>
      </c>
      <c r="M8" t="str">
        <f t="shared" ca="1" si="1"/>
        <v>5yrs +</v>
      </c>
      <c r="N8" s="3">
        <f t="shared" ca="1" si="2"/>
        <v>59</v>
      </c>
    </row>
    <row r="9" spans="1:16" x14ac:dyDescent="0.35">
      <c r="A9" t="s">
        <v>38</v>
      </c>
      <c r="B9" t="s">
        <v>39</v>
      </c>
      <c r="C9" t="s">
        <v>11</v>
      </c>
      <c r="D9">
        <v>59</v>
      </c>
      <c r="E9" t="s">
        <v>12</v>
      </c>
      <c r="F9" t="s">
        <v>37</v>
      </c>
      <c r="G9" s="2">
        <v>144988</v>
      </c>
      <c r="H9" t="s">
        <v>14</v>
      </c>
      <c r="I9" s="1">
        <v>45448</v>
      </c>
      <c r="J9" t="str">
        <f t="shared" si="0"/>
        <v>Gen X</v>
      </c>
      <c r="K9" t="str" cm="1">
        <f t="array" ref="K9">_xlfn.IFS(G9&lt;=50000,"Low",G9&lt;=100000,"Medium",G9&lt;=150000,"High",G9&gt;=150001,"Premium")</f>
        <v>High</v>
      </c>
      <c r="L9" s="3">
        <f t="shared" ca="1" si="3"/>
        <v>1</v>
      </c>
      <c r="M9" t="str">
        <f t="shared" ca="1" si="1"/>
        <v>1-3yrs</v>
      </c>
      <c r="N9" s="3">
        <f t="shared" ca="1" si="2"/>
        <v>422</v>
      </c>
      <c r="P9" s="2"/>
    </row>
    <row r="10" spans="1:16" x14ac:dyDescent="0.35">
      <c r="A10" t="s">
        <v>40</v>
      </c>
      <c r="B10" t="s">
        <v>41</v>
      </c>
      <c r="C10" t="s">
        <v>11</v>
      </c>
      <c r="D10">
        <v>48</v>
      </c>
      <c r="E10" t="s">
        <v>30</v>
      </c>
      <c r="F10" t="s">
        <v>42</v>
      </c>
      <c r="G10" s="2">
        <v>65028</v>
      </c>
      <c r="H10" t="s">
        <v>20</v>
      </c>
      <c r="I10" s="1">
        <v>43507</v>
      </c>
      <c r="J10" t="str">
        <f t="shared" si="0"/>
        <v>Gen X</v>
      </c>
      <c r="K10" t="str" cm="1">
        <f t="array" ref="K10">_xlfn.IFS(G10&lt;=50000,"Low",G10&lt;=100000,"Medium",G10&lt;=150000,"High",G10&gt;=150001,"Premium")</f>
        <v>Medium</v>
      </c>
      <c r="L10" s="3">
        <f t="shared" ca="1" si="3"/>
        <v>6</v>
      </c>
      <c r="M10" t="str">
        <f t="shared" ca="1" si="1"/>
        <v>5yrs +</v>
      </c>
      <c r="N10" s="3">
        <f t="shared" ca="1" si="2"/>
        <v>169</v>
      </c>
    </row>
    <row r="11" spans="1:16" x14ac:dyDescent="0.35">
      <c r="A11" t="s">
        <v>43</v>
      </c>
      <c r="B11" t="s">
        <v>44</v>
      </c>
      <c r="C11" t="s">
        <v>17</v>
      </c>
      <c r="D11">
        <v>71</v>
      </c>
      <c r="E11" t="s">
        <v>30</v>
      </c>
      <c r="F11" t="s">
        <v>19</v>
      </c>
      <c r="G11" s="2">
        <v>188645</v>
      </c>
      <c r="H11" t="s">
        <v>20</v>
      </c>
      <c r="I11" s="1">
        <v>42405</v>
      </c>
      <c r="J11" t="str">
        <f t="shared" si="0"/>
        <v>Boomers</v>
      </c>
      <c r="K11" t="str" cm="1">
        <f t="array" ref="K11">_xlfn.IFS(G11&lt;=50000,"Low",G11&lt;=100000,"Medium",G11&lt;=150000,"High",G11&gt;=150001,"Premium")</f>
        <v>Premium</v>
      </c>
      <c r="L11" s="3">
        <f t="shared" ca="1" si="3"/>
        <v>9</v>
      </c>
      <c r="M11" t="str">
        <f t="shared" ca="1" si="1"/>
        <v>5yrs +</v>
      </c>
      <c r="N11" s="3">
        <f t="shared" ca="1" si="2"/>
        <v>17</v>
      </c>
    </row>
    <row r="12" spans="1:16" x14ac:dyDescent="0.35">
      <c r="A12" t="s">
        <v>45</v>
      </c>
      <c r="B12" t="s">
        <v>46</v>
      </c>
      <c r="C12" t="s">
        <v>11</v>
      </c>
      <c r="D12">
        <v>20</v>
      </c>
      <c r="E12" t="s">
        <v>34</v>
      </c>
      <c r="F12" t="s">
        <v>13</v>
      </c>
      <c r="G12" s="2">
        <v>151878</v>
      </c>
      <c r="H12" t="s">
        <v>24</v>
      </c>
      <c r="I12" s="1">
        <v>42781</v>
      </c>
      <c r="J12" t="str">
        <f t="shared" si="0"/>
        <v>Gen Z</v>
      </c>
      <c r="K12" t="str" cm="1">
        <f t="array" ref="K12">_xlfn.IFS(G12&lt;=50000,"Low",G12&lt;=100000,"Medium",G12&lt;=150000,"High",G12&gt;=150001,"Premium")</f>
        <v>Premium</v>
      </c>
      <c r="L12" s="3">
        <f t="shared" ca="1" si="3"/>
        <v>8</v>
      </c>
      <c r="M12" t="str">
        <f t="shared" ca="1" si="1"/>
        <v>5yrs +</v>
      </c>
      <c r="N12" s="3">
        <f t="shared" ca="1" si="2"/>
        <v>59</v>
      </c>
    </row>
    <row r="13" spans="1:16" x14ac:dyDescent="0.35">
      <c r="A13" t="s">
        <v>47</v>
      </c>
      <c r="B13" t="s">
        <v>48</v>
      </c>
      <c r="C13" t="s">
        <v>11</v>
      </c>
      <c r="D13">
        <v>57</v>
      </c>
      <c r="E13" t="s">
        <v>30</v>
      </c>
      <c r="F13" t="s">
        <v>19</v>
      </c>
      <c r="G13" s="2">
        <v>144343</v>
      </c>
      <c r="H13" t="s">
        <v>20</v>
      </c>
      <c r="I13" s="1">
        <v>45280</v>
      </c>
      <c r="J13" t="str">
        <f t="shared" si="0"/>
        <v>Gen X</v>
      </c>
      <c r="K13" t="str" cm="1">
        <f t="array" ref="K13">_xlfn.IFS(G13&lt;=50000,"Low",G13&lt;=100000,"Medium",G13&lt;=150000,"High",G13&gt;=150001,"Premium")</f>
        <v>High</v>
      </c>
      <c r="L13" s="3">
        <f t="shared" ca="1" si="3"/>
        <v>1</v>
      </c>
      <c r="M13" t="str">
        <f t="shared" ca="1" si="1"/>
        <v>1-3yrs</v>
      </c>
      <c r="N13" s="3">
        <f t="shared" ca="1" si="2"/>
        <v>422</v>
      </c>
    </row>
    <row r="14" spans="1:16" x14ac:dyDescent="0.35">
      <c r="A14" t="s">
        <v>49</v>
      </c>
      <c r="B14" t="s">
        <v>50</v>
      </c>
      <c r="C14" t="s">
        <v>11</v>
      </c>
      <c r="D14">
        <v>63</v>
      </c>
      <c r="E14" t="s">
        <v>18</v>
      </c>
      <c r="F14" t="s">
        <v>19</v>
      </c>
      <c r="G14" s="2">
        <v>148301</v>
      </c>
      <c r="H14" t="s">
        <v>14</v>
      </c>
      <c r="I14" s="1">
        <v>45018</v>
      </c>
      <c r="J14" t="str">
        <f t="shared" si="0"/>
        <v>Boomers</v>
      </c>
      <c r="K14" t="str" cm="1">
        <f t="array" ref="K14">_xlfn.IFS(G14&lt;=50000,"Low",G14&lt;=100000,"Medium",G14&lt;=150000,"High",G14&gt;=150001,"Premium")</f>
        <v>High</v>
      </c>
      <c r="L14" s="3">
        <f t="shared" ca="1" si="3"/>
        <v>2</v>
      </c>
      <c r="M14" t="str">
        <f t="shared" ca="1" si="1"/>
        <v>1-3yrs</v>
      </c>
      <c r="N14" s="3">
        <f t="shared" ca="1" si="2"/>
        <v>367</v>
      </c>
    </row>
    <row r="15" spans="1:16" x14ac:dyDescent="0.35">
      <c r="A15" t="s">
        <v>51</v>
      </c>
      <c r="B15" t="s">
        <v>52</v>
      </c>
      <c r="C15" t="s">
        <v>11</v>
      </c>
      <c r="D15">
        <v>41</v>
      </c>
      <c r="E15" t="s">
        <v>30</v>
      </c>
      <c r="F15" t="s">
        <v>19</v>
      </c>
      <c r="G15" s="2">
        <v>146295</v>
      </c>
      <c r="H15" t="s">
        <v>20</v>
      </c>
      <c r="I15" s="1">
        <v>42960</v>
      </c>
      <c r="J15" t="str">
        <f t="shared" si="0"/>
        <v>Millennials</v>
      </c>
      <c r="K15" t="str" cm="1">
        <f t="array" ref="K15">_xlfn.IFS(G15&lt;=50000,"Low",G15&lt;=100000,"Medium",G15&lt;=150000,"High",G15&gt;=150001,"Premium")</f>
        <v>High</v>
      </c>
      <c r="L15" s="3">
        <f t="shared" ca="1" si="3"/>
        <v>8</v>
      </c>
      <c r="M15" t="str">
        <f t="shared" ca="1" si="1"/>
        <v>5yrs +</v>
      </c>
      <c r="N15" s="3">
        <f t="shared" ca="1" si="2"/>
        <v>59</v>
      </c>
    </row>
    <row r="16" spans="1:16" x14ac:dyDescent="0.35">
      <c r="A16" t="s">
        <v>53</v>
      </c>
      <c r="B16" t="s">
        <v>54</v>
      </c>
      <c r="C16" t="s">
        <v>17</v>
      </c>
      <c r="D16">
        <v>67</v>
      </c>
      <c r="E16" t="s">
        <v>18</v>
      </c>
      <c r="F16" t="s">
        <v>19</v>
      </c>
      <c r="G16" s="2">
        <v>180829</v>
      </c>
      <c r="H16" t="s">
        <v>20</v>
      </c>
      <c r="I16" s="1">
        <v>43673</v>
      </c>
      <c r="J16" t="str">
        <f t="shared" si="0"/>
        <v>Boomers</v>
      </c>
      <c r="K16" t="str" cm="1">
        <f t="array" ref="K16">_xlfn.IFS(G16&lt;=50000,"Low",G16&lt;=100000,"Medium",G16&lt;=150000,"High",G16&gt;=150001,"Premium")</f>
        <v>Premium</v>
      </c>
      <c r="L16" s="3">
        <f t="shared" ca="1" si="3"/>
        <v>6</v>
      </c>
      <c r="M16" t="str">
        <f t="shared" ca="1" si="1"/>
        <v>5yrs +</v>
      </c>
      <c r="N16" s="3">
        <f t="shared" ca="1" si="2"/>
        <v>169</v>
      </c>
    </row>
    <row r="17" spans="1:14" x14ac:dyDescent="0.35">
      <c r="A17" t="s">
        <v>55</v>
      </c>
      <c r="B17" t="s">
        <v>56</v>
      </c>
      <c r="C17" t="s">
        <v>11</v>
      </c>
      <c r="D17">
        <v>49</v>
      </c>
      <c r="E17" t="s">
        <v>34</v>
      </c>
      <c r="F17" t="s">
        <v>27</v>
      </c>
      <c r="G17" s="2">
        <v>54636</v>
      </c>
      <c r="H17" t="s">
        <v>14</v>
      </c>
      <c r="I17" s="1">
        <v>43643</v>
      </c>
      <c r="J17" t="str">
        <f t="shared" si="0"/>
        <v>Gen X</v>
      </c>
      <c r="K17" t="str" cm="1">
        <f t="array" ref="K17">_xlfn.IFS(G17&lt;=50000,"Low",G17&lt;=100000,"Medium",G17&lt;=150000,"High",G17&gt;=150001,"Premium")</f>
        <v>Medium</v>
      </c>
      <c r="L17" s="3">
        <f t="shared" ca="1" si="3"/>
        <v>6</v>
      </c>
      <c r="M17" t="str">
        <f t="shared" ca="1" si="1"/>
        <v>5yrs +</v>
      </c>
      <c r="N17" s="3">
        <f t="shared" ca="1" si="2"/>
        <v>169</v>
      </c>
    </row>
    <row r="18" spans="1:14" x14ac:dyDescent="0.35">
      <c r="A18" t="s">
        <v>57</v>
      </c>
      <c r="B18" t="s">
        <v>58</v>
      </c>
      <c r="C18" t="s">
        <v>17</v>
      </c>
      <c r="D18">
        <v>64</v>
      </c>
      <c r="E18" t="s">
        <v>34</v>
      </c>
      <c r="F18" t="s">
        <v>27</v>
      </c>
      <c r="G18" s="2">
        <v>199352</v>
      </c>
      <c r="H18" t="s">
        <v>14</v>
      </c>
      <c r="I18" s="1">
        <v>44375</v>
      </c>
      <c r="J18" t="str">
        <f t="shared" si="0"/>
        <v>Boomers</v>
      </c>
      <c r="K18" t="str" cm="1">
        <f t="array" ref="K18">_xlfn.IFS(G18&lt;=50000,"Low",G18&lt;=100000,"Medium",G18&lt;=150000,"High",G18&gt;=150001,"Premium")</f>
        <v>Premium</v>
      </c>
      <c r="L18" s="3">
        <f t="shared" ca="1" si="3"/>
        <v>4</v>
      </c>
      <c r="M18" t="str">
        <f t="shared" ca="1" si="1"/>
        <v>3-5yrs</v>
      </c>
      <c r="N18" s="3">
        <f t="shared" ca="1" si="2"/>
        <v>273</v>
      </c>
    </row>
    <row r="19" spans="1:14" x14ac:dyDescent="0.35">
      <c r="A19" t="s">
        <v>59</v>
      </c>
      <c r="B19" t="s">
        <v>60</v>
      </c>
      <c r="C19" t="s">
        <v>17</v>
      </c>
      <c r="D19">
        <v>39</v>
      </c>
      <c r="E19" t="s">
        <v>34</v>
      </c>
      <c r="F19" t="s">
        <v>42</v>
      </c>
      <c r="G19" s="2">
        <v>44262</v>
      </c>
      <c r="H19" t="s">
        <v>24</v>
      </c>
      <c r="I19" s="1">
        <v>45728</v>
      </c>
      <c r="J19" t="str">
        <f t="shared" si="0"/>
        <v>Millennials</v>
      </c>
      <c r="K19" t="str" cm="1">
        <f t="array" ref="K19">_xlfn.IFS(G19&lt;=50000,"Low",G19&lt;=100000,"Medium",G19&lt;=150000,"High",G19&gt;=150001,"Premium")</f>
        <v>Low</v>
      </c>
      <c r="L19" s="3">
        <f t="shared" ca="1" si="3"/>
        <v>0</v>
      </c>
      <c r="M19" t="str">
        <f t="shared" ca="1" si="1"/>
        <v>0-1yr</v>
      </c>
      <c r="N19" s="3">
        <f t="shared" ca="1" si="2"/>
        <v>475</v>
      </c>
    </row>
    <row r="20" spans="1:14" x14ac:dyDescent="0.35">
      <c r="A20" t="s">
        <v>61</v>
      </c>
      <c r="B20" t="s">
        <v>62</v>
      </c>
      <c r="C20" t="s">
        <v>17</v>
      </c>
      <c r="D20">
        <v>40</v>
      </c>
      <c r="E20" t="s">
        <v>34</v>
      </c>
      <c r="F20" t="s">
        <v>23</v>
      </c>
      <c r="G20" s="2">
        <v>100435</v>
      </c>
      <c r="H20" t="s">
        <v>20</v>
      </c>
      <c r="I20" s="1">
        <v>44456</v>
      </c>
      <c r="J20" t="str">
        <f t="shared" si="0"/>
        <v>Millennials</v>
      </c>
      <c r="K20" t="str" cm="1">
        <f t="array" ref="K20">_xlfn.IFS(G20&lt;=50000,"Low",G20&lt;=100000,"Medium",G20&lt;=150000,"High",G20&gt;=150001,"Premium")</f>
        <v>High</v>
      </c>
      <c r="L20" s="3">
        <f t="shared" ca="1" si="3"/>
        <v>4</v>
      </c>
      <c r="M20" t="str">
        <f t="shared" ca="1" si="1"/>
        <v>3-5yrs</v>
      </c>
      <c r="N20" s="3">
        <f t="shared" ca="1" si="2"/>
        <v>273</v>
      </c>
    </row>
    <row r="21" spans="1:14" x14ac:dyDescent="0.35">
      <c r="A21" t="s">
        <v>63</v>
      </c>
      <c r="B21" t="s">
        <v>64</v>
      </c>
      <c r="C21" t="s">
        <v>11</v>
      </c>
      <c r="D21">
        <v>19</v>
      </c>
      <c r="E21" t="s">
        <v>34</v>
      </c>
      <c r="F21" t="s">
        <v>37</v>
      </c>
      <c r="G21" s="2">
        <v>148583</v>
      </c>
      <c r="H21" t="s">
        <v>20</v>
      </c>
      <c r="I21" s="1">
        <v>45058</v>
      </c>
      <c r="J21" t="str">
        <f t="shared" si="0"/>
        <v>Gen Z</v>
      </c>
      <c r="K21" t="str" cm="1">
        <f t="array" ref="K21">_xlfn.IFS(G21&lt;=50000,"Low",G21&lt;=100000,"Medium",G21&lt;=150000,"High",G21&gt;=150001,"Premium")</f>
        <v>High</v>
      </c>
      <c r="L21" s="3">
        <f t="shared" ca="1" si="3"/>
        <v>2</v>
      </c>
      <c r="M21" t="str">
        <f t="shared" ca="1" si="1"/>
        <v>1-3yrs</v>
      </c>
      <c r="N21" s="3">
        <f t="shared" ca="1" si="2"/>
        <v>367</v>
      </c>
    </row>
    <row r="22" spans="1:14" x14ac:dyDescent="0.35">
      <c r="A22" t="s">
        <v>65</v>
      </c>
      <c r="B22" t="s">
        <v>66</v>
      </c>
      <c r="C22" t="s">
        <v>17</v>
      </c>
      <c r="D22">
        <v>44</v>
      </c>
      <c r="E22" t="s">
        <v>18</v>
      </c>
      <c r="F22" t="s">
        <v>19</v>
      </c>
      <c r="G22" s="2">
        <v>189269</v>
      </c>
      <c r="H22" t="s">
        <v>14</v>
      </c>
      <c r="I22" s="1">
        <v>45414</v>
      </c>
      <c r="J22" t="str">
        <f t="shared" si="0"/>
        <v>Millennials</v>
      </c>
      <c r="K22" t="str" cm="1">
        <f t="array" ref="K22">_xlfn.IFS(G22&lt;=50000,"Low",G22&lt;=100000,"Medium",G22&lt;=150000,"High",G22&gt;=150001,"Premium")</f>
        <v>Premium</v>
      </c>
      <c r="L22" s="3">
        <f t="shared" ca="1" si="3"/>
        <v>1</v>
      </c>
      <c r="M22" t="str">
        <f t="shared" ca="1" si="1"/>
        <v>1-3yrs</v>
      </c>
      <c r="N22" s="3">
        <f t="shared" ca="1" si="2"/>
        <v>422</v>
      </c>
    </row>
    <row r="23" spans="1:14" x14ac:dyDescent="0.35">
      <c r="A23" t="s">
        <v>67</v>
      </c>
      <c r="B23" t="s">
        <v>68</v>
      </c>
      <c r="C23" t="s">
        <v>11</v>
      </c>
      <c r="D23">
        <v>59</v>
      </c>
      <c r="E23" t="s">
        <v>18</v>
      </c>
      <c r="F23" t="s">
        <v>42</v>
      </c>
      <c r="G23" s="2">
        <v>61844</v>
      </c>
      <c r="H23" t="s">
        <v>20</v>
      </c>
      <c r="I23" s="1">
        <v>45118</v>
      </c>
      <c r="J23" t="str">
        <f t="shared" si="0"/>
        <v>Gen X</v>
      </c>
      <c r="K23" t="str" cm="1">
        <f t="array" ref="K23">_xlfn.IFS(G23&lt;=50000,"Low",G23&lt;=100000,"Medium",G23&lt;=150000,"High",G23&gt;=150001,"Premium")</f>
        <v>Medium</v>
      </c>
      <c r="L23" s="3">
        <f t="shared" ca="1" si="3"/>
        <v>2</v>
      </c>
      <c r="M23" t="str">
        <f t="shared" ca="1" si="1"/>
        <v>1-3yrs</v>
      </c>
      <c r="N23" s="3">
        <f t="shared" ca="1" si="2"/>
        <v>367</v>
      </c>
    </row>
    <row r="24" spans="1:14" x14ac:dyDescent="0.35">
      <c r="A24" t="s">
        <v>69</v>
      </c>
      <c r="B24" t="s">
        <v>70</v>
      </c>
      <c r="C24" t="s">
        <v>17</v>
      </c>
      <c r="D24">
        <v>19</v>
      </c>
      <c r="E24" t="s">
        <v>34</v>
      </c>
      <c r="F24" t="s">
        <v>23</v>
      </c>
      <c r="G24" s="2">
        <v>84754</v>
      </c>
      <c r="H24" t="s">
        <v>14</v>
      </c>
      <c r="I24" s="1">
        <v>44745</v>
      </c>
      <c r="J24" t="str">
        <f t="shared" si="0"/>
        <v>Gen Z</v>
      </c>
      <c r="K24" t="str" cm="1">
        <f t="array" ref="K24">_xlfn.IFS(G24&lt;=50000,"Low",G24&lt;=100000,"Medium",G24&lt;=150000,"High",G24&gt;=150001,"Premium")</f>
        <v>Medium</v>
      </c>
      <c r="L24" s="3">
        <f t="shared" ca="1" si="3"/>
        <v>3</v>
      </c>
      <c r="M24" t="str">
        <f t="shared" ca="1" si="1"/>
        <v>3-5yrs</v>
      </c>
      <c r="N24" s="3">
        <f t="shared" ca="1" si="2"/>
        <v>319</v>
      </c>
    </row>
    <row r="25" spans="1:14" x14ac:dyDescent="0.35">
      <c r="A25" t="s">
        <v>71</v>
      </c>
      <c r="B25" t="s">
        <v>72</v>
      </c>
      <c r="C25" t="s">
        <v>17</v>
      </c>
      <c r="D25">
        <v>43</v>
      </c>
      <c r="E25" t="s">
        <v>30</v>
      </c>
      <c r="F25" t="s">
        <v>37</v>
      </c>
      <c r="G25" s="2">
        <v>185229</v>
      </c>
      <c r="H25" t="s">
        <v>20</v>
      </c>
      <c r="I25" s="1">
        <v>42765</v>
      </c>
      <c r="J25" t="str">
        <f t="shared" si="0"/>
        <v>Millennials</v>
      </c>
      <c r="K25" t="str" cm="1">
        <f t="array" ref="K25">_xlfn.IFS(G25&lt;=50000,"Low",G25&lt;=100000,"Medium",G25&lt;=150000,"High",G25&gt;=150001,"Premium")</f>
        <v>Premium</v>
      </c>
      <c r="L25" s="3">
        <f t="shared" ca="1" si="3"/>
        <v>8</v>
      </c>
      <c r="M25" t="str">
        <f t="shared" ca="1" si="1"/>
        <v>5yrs +</v>
      </c>
      <c r="N25" s="3">
        <f t="shared" ca="1" si="2"/>
        <v>59</v>
      </c>
    </row>
    <row r="26" spans="1:14" x14ac:dyDescent="0.35">
      <c r="A26" t="s">
        <v>73</v>
      </c>
      <c r="B26" t="s">
        <v>74</v>
      </c>
      <c r="C26" t="s">
        <v>17</v>
      </c>
      <c r="D26">
        <v>34</v>
      </c>
      <c r="E26" t="s">
        <v>12</v>
      </c>
      <c r="F26" t="s">
        <v>31</v>
      </c>
      <c r="G26" s="2">
        <v>97129</v>
      </c>
      <c r="H26" t="s">
        <v>14</v>
      </c>
      <c r="I26" s="1">
        <v>43718</v>
      </c>
      <c r="J26" t="str">
        <f t="shared" si="0"/>
        <v>Millennials</v>
      </c>
      <c r="K26" t="str" cm="1">
        <f t="array" ref="K26">_xlfn.IFS(G26&lt;=50000,"Low",G26&lt;=100000,"Medium",G26&lt;=150000,"High",G26&gt;=150001,"Premium")</f>
        <v>Medium</v>
      </c>
      <c r="L26" s="3">
        <f t="shared" ca="1" si="3"/>
        <v>6</v>
      </c>
      <c r="M26" t="str">
        <f t="shared" ca="1" si="1"/>
        <v>5yrs +</v>
      </c>
      <c r="N26" s="3">
        <f t="shared" ca="1" si="2"/>
        <v>169</v>
      </c>
    </row>
    <row r="27" spans="1:14" x14ac:dyDescent="0.35">
      <c r="A27" t="s">
        <v>75</v>
      </c>
      <c r="B27" t="s">
        <v>76</v>
      </c>
      <c r="C27" t="s">
        <v>17</v>
      </c>
      <c r="D27">
        <v>57</v>
      </c>
      <c r="E27" t="s">
        <v>34</v>
      </c>
      <c r="F27" t="s">
        <v>13</v>
      </c>
      <c r="G27" s="2">
        <v>60042</v>
      </c>
      <c r="H27" t="s">
        <v>20</v>
      </c>
      <c r="I27" s="1">
        <v>44469</v>
      </c>
      <c r="J27" t="str">
        <f t="shared" si="0"/>
        <v>Gen X</v>
      </c>
      <c r="K27" t="str" cm="1">
        <f t="array" ref="K27">_xlfn.IFS(G27&lt;=50000,"Low",G27&lt;=100000,"Medium",G27&lt;=150000,"High",G27&gt;=150001,"Premium")</f>
        <v>Medium</v>
      </c>
      <c r="L27" s="3">
        <f t="shared" ca="1" si="3"/>
        <v>4</v>
      </c>
      <c r="M27" t="str">
        <f t="shared" ca="1" si="1"/>
        <v>3-5yrs</v>
      </c>
      <c r="N27" s="3">
        <f t="shared" ca="1" si="2"/>
        <v>273</v>
      </c>
    </row>
    <row r="28" spans="1:14" x14ac:dyDescent="0.35">
      <c r="A28" t="s">
        <v>77</v>
      </c>
      <c r="B28" t="s">
        <v>78</v>
      </c>
      <c r="C28" t="s">
        <v>17</v>
      </c>
      <c r="D28">
        <v>50</v>
      </c>
      <c r="E28" t="s">
        <v>30</v>
      </c>
      <c r="F28" t="s">
        <v>27</v>
      </c>
      <c r="G28" s="2">
        <v>81665</v>
      </c>
      <c r="H28" t="s">
        <v>24</v>
      </c>
      <c r="I28" s="1">
        <v>42607</v>
      </c>
      <c r="J28" t="str">
        <f t="shared" si="0"/>
        <v>Gen X</v>
      </c>
      <c r="K28" t="str" cm="1">
        <f t="array" ref="K28">_xlfn.IFS(G28&lt;=50000,"Low",G28&lt;=100000,"Medium",G28&lt;=150000,"High",G28&gt;=150001,"Premium")</f>
        <v>Medium</v>
      </c>
      <c r="L28" s="3">
        <f t="shared" ca="1" si="3"/>
        <v>9</v>
      </c>
      <c r="M28" t="str">
        <f t="shared" ca="1" si="1"/>
        <v>5yrs +</v>
      </c>
      <c r="N28" s="3">
        <f t="shared" ca="1" si="2"/>
        <v>17</v>
      </c>
    </row>
    <row r="29" spans="1:14" x14ac:dyDescent="0.35">
      <c r="A29" t="s">
        <v>79</v>
      </c>
      <c r="B29" t="s">
        <v>80</v>
      </c>
      <c r="C29" t="s">
        <v>17</v>
      </c>
      <c r="D29">
        <v>26</v>
      </c>
      <c r="E29" t="s">
        <v>12</v>
      </c>
      <c r="F29" t="s">
        <v>31</v>
      </c>
      <c r="G29" s="2">
        <v>136953</v>
      </c>
      <c r="H29" t="s">
        <v>14</v>
      </c>
      <c r="I29" s="1">
        <v>43698</v>
      </c>
      <c r="J29" t="str">
        <f t="shared" si="0"/>
        <v>Gen Z</v>
      </c>
      <c r="K29" t="str" cm="1">
        <f t="array" ref="K29">_xlfn.IFS(G29&lt;=50000,"Low",G29&lt;=100000,"Medium",G29&lt;=150000,"High",G29&gt;=150001,"Premium")</f>
        <v>High</v>
      </c>
      <c r="L29" s="3">
        <f t="shared" ca="1" si="3"/>
        <v>6</v>
      </c>
      <c r="M29" t="str">
        <f t="shared" ca="1" si="1"/>
        <v>5yrs +</v>
      </c>
      <c r="N29" s="3">
        <f t="shared" ca="1" si="2"/>
        <v>169</v>
      </c>
    </row>
    <row r="30" spans="1:14" x14ac:dyDescent="0.35">
      <c r="A30" t="s">
        <v>81</v>
      </c>
      <c r="B30" t="s">
        <v>82</v>
      </c>
      <c r="C30" t="s">
        <v>17</v>
      </c>
      <c r="D30">
        <v>60</v>
      </c>
      <c r="E30" t="s">
        <v>34</v>
      </c>
      <c r="F30" t="s">
        <v>37</v>
      </c>
      <c r="G30" s="2">
        <v>178448</v>
      </c>
      <c r="H30" t="s">
        <v>24</v>
      </c>
      <c r="I30" s="1">
        <v>44834</v>
      </c>
      <c r="J30" t="str">
        <f t="shared" si="0"/>
        <v>Gen X</v>
      </c>
      <c r="K30" t="str" cm="1">
        <f t="array" ref="K30">_xlfn.IFS(G30&lt;=50000,"Low",G30&lt;=100000,"Medium",G30&lt;=150000,"High",G30&gt;=150001,"Premium")</f>
        <v>Premium</v>
      </c>
      <c r="L30" s="3">
        <f t="shared" ca="1" si="3"/>
        <v>3</v>
      </c>
      <c r="M30" t="str">
        <f t="shared" ca="1" si="1"/>
        <v>3-5yrs</v>
      </c>
      <c r="N30" s="3">
        <f t="shared" ca="1" si="2"/>
        <v>319</v>
      </c>
    </row>
    <row r="31" spans="1:14" x14ac:dyDescent="0.35">
      <c r="A31" t="s">
        <v>83</v>
      </c>
      <c r="B31" t="s">
        <v>84</v>
      </c>
      <c r="C31" t="s">
        <v>17</v>
      </c>
      <c r="D31">
        <v>71</v>
      </c>
      <c r="E31" t="s">
        <v>34</v>
      </c>
      <c r="F31" t="s">
        <v>31</v>
      </c>
      <c r="G31" s="2">
        <v>165271</v>
      </c>
      <c r="H31" t="s">
        <v>14</v>
      </c>
      <c r="I31" s="1">
        <v>44109</v>
      </c>
      <c r="J31" t="str">
        <f t="shared" si="0"/>
        <v>Boomers</v>
      </c>
      <c r="K31" t="str" cm="1">
        <f t="array" ref="K31">_xlfn.IFS(G31&lt;=50000,"Low",G31&lt;=100000,"Medium",G31&lt;=150000,"High",G31&gt;=150001,"Premium")</f>
        <v>Premium</v>
      </c>
      <c r="L31" s="3">
        <f t="shared" ca="1" si="3"/>
        <v>5</v>
      </c>
      <c r="M31" t="str">
        <f t="shared" ca="1" si="1"/>
        <v>5yrs +</v>
      </c>
      <c r="N31" s="3">
        <f t="shared" ca="1" si="2"/>
        <v>227</v>
      </c>
    </row>
    <row r="32" spans="1:14" x14ac:dyDescent="0.35">
      <c r="A32" t="s">
        <v>85</v>
      </c>
      <c r="B32" t="s">
        <v>86</v>
      </c>
      <c r="C32" t="s">
        <v>11</v>
      </c>
      <c r="D32">
        <v>65</v>
      </c>
      <c r="E32" t="s">
        <v>18</v>
      </c>
      <c r="F32" t="s">
        <v>13</v>
      </c>
      <c r="G32" s="2">
        <v>138533</v>
      </c>
      <c r="H32" t="s">
        <v>20</v>
      </c>
      <c r="I32" s="1">
        <v>42742</v>
      </c>
      <c r="J32" t="str">
        <f t="shared" si="0"/>
        <v>Boomers</v>
      </c>
      <c r="K32" t="str" cm="1">
        <f t="array" ref="K32">_xlfn.IFS(G32&lt;=50000,"Low",G32&lt;=100000,"Medium",G32&lt;=150000,"High",G32&gt;=150001,"Premium")</f>
        <v>High</v>
      </c>
      <c r="L32" s="3">
        <f t="shared" ca="1" si="3"/>
        <v>8</v>
      </c>
      <c r="M32" t="str">
        <f t="shared" ca="1" si="1"/>
        <v>5yrs +</v>
      </c>
      <c r="N32" s="3">
        <f t="shared" ca="1" si="2"/>
        <v>59</v>
      </c>
    </row>
    <row r="33" spans="1:14" x14ac:dyDescent="0.35">
      <c r="A33" t="s">
        <v>87</v>
      </c>
      <c r="B33" t="s">
        <v>88</v>
      </c>
      <c r="C33" t="s">
        <v>11</v>
      </c>
      <c r="D33">
        <v>56</v>
      </c>
      <c r="E33" t="s">
        <v>12</v>
      </c>
      <c r="F33" t="s">
        <v>42</v>
      </c>
      <c r="G33" s="2">
        <v>93781</v>
      </c>
      <c r="H33" t="s">
        <v>20</v>
      </c>
      <c r="I33" s="1">
        <v>42565</v>
      </c>
      <c r="J33" t="str">
        <f t="shared" si="0"/>
        <v>Gen X</v>
      </c>
      <c r="K33" t="str" cm="1">
        <f t="array" ref="K33">_xlfn.IFS(G33&lt;=50000,"Low",G33&lt;=100000,"Medium",G33&lt;=150000,"High",G33&gt;=150001,"Premium")</f>
        <v>Medium</v>
      </c>
      <c r="L33" s="3">
        <f t="shared" ca="1" si="3"/>
        <v>9</v>
      </c>
      <c r="M33" t="str">
        <f t="shared" ca="1" si="1"/>
        <v>5yrs +</v>
      </c>
      <c r="N33" s="3">
        <f t="shared" ca="1" si="2"/>
        <v>17</v>
      </c>
    </row>
    <row r="34" spans="1:14" x14ac:dyDescent="0.35">
      <c r="A34" t="s">
        <v>89</v>
      </c>
      <c r="B34" t="s">
        <v>90</v>
      </c>
      <c r="C34" t="s">
        <v>17</v>
      </c>
      <c r="D34">
        <v>46</v>
      </c>
      <c r="E34" t="s">
        <v>12</v>
      </c>
      <c r="F34" t="s">
        <v>37</v>
      </c>
      <c r="G34" s="2">
        <v>86262</v>
      </c>
      <c r="H34" t="s">
        <v>14</v>
      </c>
      <c r="I34" s="1">
        <v>43698</v>
      </c>
      <c r="J34" t="str">
        <f t="shared" si="0"/>
        <v>Gen X</v>
      </c>
      <c r="K34" t="str" cm="1">
        <f t="array" ref="K34">_xlfn.IFS(G34&lt;=50000,"Low",G34&lt;=100000,"Medium",G34&lt;=150000,"High",G34&gt;=150001,"Premium")</f>
        <v>Medium</v>
      </c>
      <c r="L34" s="3">
        <f t="shared" ca="1" si="3"/>
        <v>6</v>
      </c>
      <c r="M34" t="str">
        <f t="shared" ca="1" si="1"/>
        <v>5yrs +</v>
      </c>
      <c r="N34" s="3">
        <f t="shared" ca="1" si="2"/>
        <v>169</v>
      </c>
    </row>
    <row r="35" spans="1:14" x14ac:dyDescent="0.35">
      <c r="A35" t="s">
        <v>91</v>
      </c>
      <c r="B35" t="s">
        <v>92</v>
      </c>
      <c r="C35" t="s">
        <v>17</v>
      </c>
      <c r="D35">
        <v>59</v>
      </c>
      <c r="E35" t="s">
        <v>30</v>
      </c>
      <c r="F35" t="s">
        <v>31</v>
      </c>
      <c r="G35" s="2">
        <v>66600</v>
      </c>
      <c r="H35" t="s">
        <v>20</v>
      </c>
      <c r="I35" s="1">
        <v>44513</v>
      </c>
      <c r="J35" t="str">
        <f t="shared" si="0"/>
        <v>Gen X</v>
      </c>
      <c r="K35" t="str" cm="1">
        <f t="array" ref="K35">_xlfn.IFS(G35&lt;=50000,"Low",G35&lt;=100000,"Medium",G35&lt;=150000,"High",G35&gt;=150001,"Premium")</f>
        <v>Medium</v>
      </c>
      <c r="L35" s="3">
        <f t="shared" ca="1" si="3"/>
        <v>4</v>
      </c>
      <c r="M35" t="str">
        <f t="shared" ca="1" si="1"/>
        <v>3-5yrs</v>
      </c>
      <c r="N35" s="3">
        <f t="shared" ca="1" si="2"/>
        <v>273</v>
      </c>
    </row>
    <row r="36" spans="1:14" x14ac:dyDescent="0.35">
      <c r="A36" t="s">
        <v>93</v>
      </c>
      <c r="B36" t="s">
        <v>94</v>
      </c>
      <c r="C36" t="s">
        <v>17</v>
      </c>
      <c r="D36">
        <v>72</v>
      </c>
      <c r="E36" t="s">
        <v>18</v>
      </c>
      <c r="F36" t="s">
        <v>27</v>
      </c>
      <c r="G36" s="2">
        <v>96898</v>
      </c>
      <c r="H36" t="s">
        <v>20</v>
      </c>
      <c r="I36" s="1">
        <v>42533</v>
      </c>
      <c r="J36" t="str">
        <f t="shared" si="0"/>
        <v>Boomers</v>
      </c>
      <c r="K36" t="str" cm="1">
        <f t="array" ref="K36">_xlfn.IFS(G36&lt;=50000,"Low",G36&lt;=100000,"Medium",G36&lt;=150000,"High",G36&gt;=150001,"Premium")</f>
        <v>Medium</v>
      </c>
      <c r="L36" s="3">
        <f t="shared" ca="1" si="3"/>
        <v>9</v>
      </c>
      <c r="M36" t="str">
        <f t="shared" ca="1" si="1"/>
        <v>5yrs +</v>
      </c>
      <c r="N36" s="3">
        <f t="shared" ca="1" si="2"/>
        <v>17</v>
      </c>
    </row>
    <row r="37" spans="1:14" x14ac:dyDescent="0.35">
      <c r="A37" t="s">
        <v>95</v>
      </c>
      <c r="B37" t="s">
        <v>96</v>
      </c>
      <c r="C37" t="s">
        <v>11</v>
      </c>
      <c r="D37">
        <v>43</v>
      </c>
      <c r="E37" t="s">
        <v>18</v>
      </c>
      <c r="F37" t="s">
        <v>27</v>
      </c>
      <c r="G37" s="2">
        <v>169369</v>
      </c>
      <c r="H37" t="s">
        <v>14</v>
      </c>
      <c r="I37" s="1">
        <v>42902</v>
      </c>
      <c r="J37" t="str">
        <f t="shared" si="0"/>
        <v>Millennials</v>
      </c>
      <c r="K37" t="str" cm="1">
        <f t="array" ref="K37">_xlfn.IFS(G37&lt;=50000,"Low",G37&lt;=100000,"Medium",G37&lt;=150000,"High",G37&gt;=150001,"Premium")</f>
        <v>Premium</v>
      </c>
      <c r="L37" s="3">
        <f t="shared" ca="1" si="3"/>
        <v>8</v>
      </c>
      <c r="M37" t="str">
        <f t="shared" ca="1" si="1"/>
        <v>5yrs +</v>
      </c>
      <c r="N37" s="3">
        <f t="shared" ca="1" si="2"/>
        <v>59</v>
      </c>
    </row>
    <row r="38" spans="1:14" x14ac:dyDescent="0.35">
      <c r="A38" t="s">
        <v>97</v>
      </c>
      <c r="B38" t="s">
        <v>98</v>
      </c>
      <c r="C38" t="s">
        <v>17</v>
      </c>
      <c r="D38">
        <v>52</v>
      </c>
      <c r="E38" t="s">
        <v>18</v>
      </c>
      <c r="F38" t="s">
        <v>23</v>
      </c>
      <c r="G38" s="2">
        <v>50448</v>
      </c>
      <c r="H38" t="s">
        <v>14</v>
      </c>
      <c r="I38" s="1">
        <v>42922</v>
      </c>
      <c r="J38" t="str">
        <f t="shared" si="0"/>
        <v>Gen X</v>
      </c>
      <c r="K38" t="str" cm="1">
        <f t="array" ref="K38">_xlfn.IFS(G38&lt;=50000,"Low",G38&lt;=100000,"Medium",G38&lt;=150000,"High",G38&gt;=150001,"Premium")</f>
        <v>Medium</v>
      </c>
      <c r="L38" s="3">
        <f t="shared" ca="1" si="3"/>
        <v>8</v>
      </c>
      <c r="M38" t="str">
        <f t="shared" ca="1" si="1"/>
        <v>5yrs +</v>
      </c>
      <c r="N38" s="3">
        <f t="shared" ca="1" si="2"/>
        <v>59</v>
      </c>
    </row>
    <row r="39" spans="1:14" x14ac:dyDescent="0.35">
      <c r="A39" t="s">
        <v>99</v>
      </c>
      <c r="B39" t="s">
        <v>100</v>
      </c>
      <c r="C39" t="s">
        <v>11</v>
      </c>
      <c r="D39">
        <v>67</v>
      </c>
      <c r="E39" t="s">
        <v>18</v>
      </c>
      <c r="F39" t="s">
        <v>31</v>
      </c>
      <c r="G39" s="2">
        <v>46172</v>
      </c>
      <c r="H39" t="s">
        <v>20</v>
      </c>
      <c r="I39" s="1">
        <v>44507</v>
      </c>
      <c r="J39" t="str">
        <f t="shared" si="0"/>
        <v>Boomers</v>
      </c>
      <c r="K39" t="str" cm="1">
        <f t="array" ref="K39">_xlfn.IFS(G39&lt;=50000,"Low",G39&lt;=100000,"Medium",G39&lt;=150000,"High",G39&gt;=150001,"Premium")</f>
        <v>Low</v>
      </c>
      <c r="L39" s="3">
        <f t="shared" ca="1" si="3"/>
        <v>4</v>
      </c>
      <c r="M39" t="str">
        <f t="shared" ca="1" si="1"/>
        <v>3-5yrs</v>
      </c>
      <c r="N39" s="3">
        <f t="shared" ca="1" si="2"/>
        <v>273</v>
      </c>
    </row>
    <row r="40" spans="1:14" x14ac:dyDescent="0.35">
      <c r="A40" t="s">
        <v>101</v>
      </c>
      <c r="B40" t="s">
        <v>102</v>
      </c>
      <c r="C40" t="s">
        <v>11</v>
      </c>
      <c r="D40">
        <v>42</v>
      </c>
      <c r="E40" t="s">
        <v>12</v>
      </c>
      <c r="F40" t="s">
        <v>19</v>
      </c>
      <c r="G40" s="2">
        <v>193946</v>
      </c>
      <c r="H40" t="s">
        <v>20</v>
      </c>
      <c r="I40" s="1">
        <v>44074</v>
      </c>
      <c r="J40" t="str">
        <f t="shared" si="0"/>
        <v>Millennials</v>
      </c>
      <c r="K40" t="str" cm="1">
        <f t="array" ref="K40">_xlfn.IFS(G40&lt;=50000,"Low",G40&lt;=100000,"Medium",G40&lt;=150000,"High",G40&gt;=150001,"Premium")</f>
        <v>Premium</v>
      </c>
      <c r="L40" s="3">
        <f t="shared" ca="1" si="3"/>
        <v>5</v>
      </c>
      <c r="M40" t="str">
        <f t="shared" ca="1" si="1"/>
        <v>5yrs +</v>
      </c>
      <c r="N40" s="3">
        <f t="shared" ca="1" si="2"/>
        <v>227</v>
      </c>
    </row>
    <row r="41" spans="1:14" x14ac:dyDescent="0.35">
      <c r="A41" t="s">
        <v>103</v>
      </c>
      <c r="B41" t="s">
        <v>104</v>
      </c>
      <c r="C41" t="s">
        <v>11</v>
      </c>
      <c r="D41">
        <v>41</v>
      </c>
      <c r="E41" t="s">
        <v>12</v>
      </c>
      <c r="F41" t="s">
        <v>31</v>
      </c>
      <c r="G41" s="2">
        <v>27657</v>
      </c>
      <c r="H41" t="s">
        <v>20</v>
      </c>
      <c r="I41" s="1">
        <v>42296</v>
      </c>
      <c r="J41" t="str">
        <f t="shared" si="0"/>
        <v>Millennials</v>
      </c>
      <c r="K41" t="str" cm="1">
        <f t="array" ref="K41">_xlfn.IFS(G41&lt;=50000,"Low",G41&lt;=100000,"Medium",G41&lt;=150000,"High",G41&gt;=150001,"Premium")</f>
        <v>Low</v>
      </c>
      <c r="L41" s="3">
        <f t="shared" ca="1" si="3"/>
        <v>10</v>
      </c>
      <c r="M41" t="str">
        <f t="shared" ca="1" si="1"/>
        <v>5yrs +</v>
      </c>
      <c r="N41" s="3">
        <f t="shared" ca="1" si="2"/>
        <v>1</v>
      </c>
    </row>
    <row r="42" spans="1:14" x14ac:dyDescent="0.35">
      <c r="A42" t="s">
        <v>105</v>
      </c>
      <c r="B42" t="s">
        <v>106</v>
      </c>
      <c r="C42" t="s">
        <v>11</v>
      </c>
      <c r="D42">
        <v>30</v>
      </c>
      <c r="E42" t="s">
        <v>34</v>
      </c>
      <c r="F42" t="s">
        <v>42</v>
      </c>
      <c r="G42" s="2">
        <v>176497</v>
      </c>
      <c r="H42" t="s">
        <v>20</v>
      </c>
      <c r="I42" s="1">
        <v>42853</v>
      </c>
      <c r="J42" t="str">
        <f t="shared" si="0"/>
        <v>Millennials</v>
      </c>
      <c r="K42" t="str" cm="1">
        <f t="array" ref="K42">_xlfn.IFS(G42&lt;=50000,"Low",G42&lt;=100000,"Medium",G42&lt;=150000,"High",G42&gt;=150001,"Premium")</f>
        <v>Premium</v>
      </c>
      <c r="L42" s="3">
        <f t="shared" ca="1" si="3"/>
        <v>8</v>
      </c>
      <c r="M42" t="str">
        <f t="shared" ca="1" si="1"/>
        <v>5yrs +</v>
      </c>
      <c r="N42" s="3">
        <f t="shared" ca="1" si="2"/>
        <v>59</v>
      </c>
    </row>
    <row r="43" spans="1:14" x14ac:dyDescent="0.35">
      <c r="A43" t="s">
        <v>107</v>
      </c>
      <c r="B43" t="s">
        <v>108</v>
      </c>
      <c r="C43" t="s">
        <v>11</v>
      </c>
      <c r="D43">
        <v>24</v>
      </c>
      <c r="E43" t="s">
        <v>34</v>
      </c>
      <c r="F43" t="s">
        <v>37</v>
      </c>
      <c r="G43" s="2">
        <v>177757</v>
      </c>
      <c r="H43" t="s">
        <v>14</v>
      </c>
      <c r="I43" s="1">
        <v>42576</v>
      </c>
      <c r="J43" t="str">
        <f t="shared" si="0"/>
        <v>Gen Z</v>
      </c>
      <c r="K43" t="str" cm="1">
        <f t="array" ref="K43">_xlfn.IFS(G43&lt;=50000,"Low",G43&lt;=100000,"Medium",G43&lt;=150000,"High",G43&gt;=150001,"Premium")</f>
        <v>Premium</v>
      </c>
      <c r="L43" s="3">
        <f t="shared" ca="1" si="3"/>
        <v>9</v>
      </c>
      <c r="M43" t="str">
        <f t="shared" ca="1" si="1"/>
        <v>5yrs +</v>
      </c>
      <c r="N43" s="3">
        <f t="shared" ca="1" si="2"/>
        <v>17</v>
      </c>
    </row>
    <row r="44" spans="1:14" x14ac:dyDescent="0.35">
      <c r="A44" t="s">
        <v>109</v>
      </c>
      <c r="B44" t="s">
        <v>110</v>
      </c>
      <c r="C44" t="s">
        <v>17</v>
      </c>
      <c r="D44">
        <v>74</v>
      </c>
      <c r="E44" t="s">
        <v>18</v>
      </c>
      <c r="F44" t="s">
        <v>37</v>
      </c>
      <c r="G44" s="2">
        <v>132855</v>
      </c>
      <c r="H44" t="s">
        <v>20</v>
      </c>
      <c r="I44" s="1">
        <v>44752</v>
      </c>
      <c r="J44" t="str">
        <f t="shared" si="0"/>
        <v>Boomers</v>
      </c>
      <c r="K44" t="str" cm="1">
        <f t="array" ref="K44">_xlfn.IFS(G44&lt;=50000,"Low",G44&lt;=100000,"Medium",G44&lt;=150000,"High",G44&gt;=150001,"Premium")</f>
        <v>High</v>
      </c>
      <c r="L44" s="3">
        <f t="shared" ca="1" si="3"/>
        <v>3</v>
      </c>
      <c r="M44" t="str">
        <f t="shared" ca="1" si="1"/>
        <v>3-5yrs</v>
      </c>
      <c r="N44" s="3">
        <f t="shared" ca="1" si="2"/>
        <v>319</v>
      </c>
    </row>
    <row r="45" spans="1:14" x14ac:dyDescent="0.35">
      <c r="A45" t="s">
        <v>111</v>
      </c>
      <c r="B45" t="s">
        <v>112</v>
      </c>
      <c r="C45" t="s">
        <v>17</v>
      </c>
      <c r="D45">
        <v>53</v>
      </c>
      <c r="E45" t="s">
        <v>18</v>
      </c>
      <c r="F45" t="s">
        <v>42</v>
      </c>
      <c r="G45" s="2">
        <v>175650</v>
      </c>
      <c r="H45" t="s">
        <v>14</v>
      </c>
      <c r="I45" s="1">
        <v>44427</v>
      </c>
      <c r="J45" t="str">
        <f t="shared" si="0"/>
        <v>Gen X</v>
      </c>
      <c r="K45" t="str" cm="1">
        <f t="array" ref="K45">_xlfn.IFS(G45&lt;=50000,"Low",G45&lt;=100000,"Medium",G45&lt;=150000,"High",G45&gt;=150001,"Premium")</f>
        <v>Premium</v>
      </c>
      <c r="L45" s="3">
        <f t="shared" ca="1" si="3"/>
        <v>4</v>
      </c>
      <c r="M45" t="str">
        <f t="shared" ca="1" si="1"/>
        <v>3-5yrs</v>
      </c>
      <c r="N45" s="3">
        <f t="shared" ca="1" si="2"/>
        <v>273</v>
      </c>
    </row>
    <row r="46" spans="1:14" x14ac:dyDescent="0.35">
      <c r="A46" t="s">
        <v>113</v>
      </c>
      <c r="B46" t="s">
        <v>114</v>
      </c>
      <c r="C46" t="s">
        <v>17</v>
      </c>
      <c r="D46">
        <v>62</v>
      </c>
      <c r="E46" t="s">
        <v>18</v>
      </c>
      <c r="F46" t="s">
        <v>31</v>
      </c>
      <c r="G46" s="2">
        <v>179903</v>
      </c>
      <c r="H46" t="s">
        <v>14</v>
      </c>
      <c r="I46" s="1">
        <v>43636</v>
      </c>
      <c r="J46" t="str">
        <f t="shared" si="0"/>
        <v>Boomers</v>
      </c>
      <c r="K46" t="str" cm="1">
        <f t="array" ref="K46">_xlfn.IFS(G46&lt;=50000,"Low",G46&lt;=100000,"Medium",G46&lt;=150000,"High",G46&gt;=150001,"Premium")</f>
        <v>Premium</v>
      </c>
      <c r="L46" s="3">
        <f t="shared" ca="1" si="3"/>
        <v>6</v>
      </c>
      <c r="M46" t="str">
        <f t="shared" ca="1" si="1"/>
        <v>5yrs +</v>
      </c>
      <c r="N46" s="3">
        <f t="shared" ca="1" si="2"/>
        <v>169</v>
      </c>
    </row>
    <row r="47" spans="1:14" x14ac:dyDescent="0.35">
      <c r="A47" t="s">
        <v>115</v>
      </c>
      <c r="B47" t="s">
        <v>116</v>
      </c>
      <c r="C47" t="s">
        <v>17</v>
      </c>
      <c r="D47">
        <v>37</v>
      </c>
      <c r="E47" t="s">
        <v>34</v>
      </c>
      <c r="F47" t="s">
        <v>42</v>
      </c>
      <c r="G47" s="2">
        <v>27906</v>
      </c>
      <c r="H47" t="s">
        <v>14</v>
      </c>
      <c r="I47" s="1">
        <v>44323</v>
      </c>
      <c r="J47" t="str">
        <f t="shared" si="0"/>
        <v>Millennials</v>
      </c>
      <c r="K47" t="str" cm="1">
        <f t="array" ref="K47">_xlfn.IFS(G47&lt;=50000,"Low",G47&lt;=100000,"Medium",G47&lt;=150000,"High",G47&gt;=150001,"Premium")</f>
        <v>Low</v>
      </c>
      <c r="L47" s="3">
        <f t="shared" ca="1" si="3"/>
        <v>4</v>
      </c>
      <c r="M47" t="str">
        <f t="shared" ca="1" si="1"/>
        <v>3-5yrs</v>
      </c>
      <c r="N47" s="3">
        <f t="shared" ca="1" si="2"/>
        <v>273</v>
      </c>
    </row>
    <row r="48" spans="1:14" x14ac:dyDescent="0.35">
      <c r="A48" t="s">
        <v>117</v>
      </c>
      <c r="B48" t="s">
        <v>118</v>
      </c>
      <c r="C48" t="s">
        <v>17</v>
      </c>
      <c r="D48">
        <v>18</v>
      </c>
      <c r="E48" t="s">
        <v>30</v>
      </c>
      <c r="F48" t="s">
        <v>13</v>
      </c>
      <c r="G48" s="2">
        <v>81413</v>
      </c>
      <c r="H48" t="s">
        <v>14</v>
      </c>
      <c r="I48" s="1">
        <v>42831</v>
      </c>
      <c r="J48" t="str">
        <f t="shared" si="0"/>
        <v>Gen Z</v>
      </c>
      <c r="K48" t="str" cm="1">
        <f t="array" ref="K48">_xlfn.IFS(G48&lt;=50000,"Low",G48&lt;=100000,"Medium",G48&lt;=150000,"High",G48&gt;=150001,"Premium")</f>
        <v>Medium</v>
      </c>
      <c r="L48" s="3">
        <f t="shared" ca="1" si="3"/>
        <v>8</v>
      </c>
      <c r="M48" t="str">
        <f t="shared" ca="1" si="1"/>
        <v>5yrs +</v>
      </c>
      <c r="N48" s="3">
        <f t="shared" ca="1" si="2"/>
        <v>59</v>
      </c>
    </row>
    <row r="49" spans="1:14" x14ac:dyDescent="0.35">
      <c r="A49" t="s">
        <v>119</v>
      </c>
      <c r="B49" t="s">
        <v>120</v>
      </c>
      <c r="C49" t="s">
        <v>11</v>
      </c>
      <c r="D49">
        <v>25</v>
      </c>
      <c r="E49" t="s">
        <v>30</v>
      </c>
      <c r="F49" t="s">
        <v>42</v>
      </c>
      <c r="G49" s="2">
        <v>74028</v>
      </c>
      <c r="H49" t="s">
        <v>14</v>
      </c>
      <c r="I49" s="1">
        <v>45478</v>
      </c>
      <c r="J49" t="str">
        <f t="shared" si="0"/>
        <v>Gen Z</v>
      </c>
      <c r="K49" t="str" cm="1">
        <f t="array" ref="K49">_xlfn.IFS(G49&lt;=50000,"Low",G49&lt;=100000,"Medium",G49&lt;=150000,"High",G49&gt;=150001,"Premium")</f>
        <v>Medium</v>
      </c>
      <c r="L49" s="3">
        <f t="shared" ca="1" si="3"/>
        <v>1</v>
      </c>
      <c r="M49" t="str">
        <f t="shared" ca="1" si="1"/>
        <v>1-3yrs</v>
      </c>
      <c r="N49" s="3">
        <f t="shared" ca="1" si="2"/>
        <v>422</v>
      </c>
    </row>
    <row r="50" spans="1:14" x14ac:dyDescent="0.35">
      <c r="A50" t="s">
        <v>121</v>
      </c>
      <c r="B50" t="s">
        <v>122</v>
      </c>
      <c r="C50" t="s">
        <v>17</v>
      </c>
      <c r="D50">
        <v>63</v>
      </c>
      <c r="E50" t="s">
        <v>34</v>
      </c>
      <c r="F50" t="s">
        <v>27</v>
      </c>
      <c r="G50" s="2">
        <v>27287</v>
      </c>
      <c r="H50" t="s">
        <v>14</v>
      </c>
      <c r="I50" s="1">
        <v>42750</v>
      </c>
      <c r="J50" t="str">
        <f t="shared" si="0"/>
        <v>Boomers</v>
      </c>
      <c r="K50" t="str" cm="1">
        <f t="array" ref="K50">_xlfn.IFS(G50&lt;=50000,"Low",G50&lt;=100000,"Medium",G50&lt;=150000,"High",G50&gt;=150001,"Premium")</f>
        <v>Low</v>
      </c>
      <c r="L50" s="3">
        <f t="shared" ca="1" si="3"/>
        <v>8</v>
      </c>
      <c r="M50" t="str">
        <f t="shared" ca="1" si="1"/>
        <v>5yrs +</v>
      </c>
      <c r="N50" s="3">
        <f t="shared" ca="1" si="2"/>
        <v>59</v>
      </c>
    </row>
    <row r="51" spans="1:14" x14ac:dyDescent="0.35">
      <c r="A51" t="s">
        <v>123</v>
      </c>
      <c r="B51" t="s">
        <v>124</v>
      </c>
      <c r="C51" t="s">
        <v>17</v>
      </c>
      <c r="D51">
        <v>33</v>
      </c>
      <c r="E51" t="s">
        <v>34</v>
      </c>
      <c r="F51" t="s">
        <v>42</v>
      </c>
      <c r="G51" s="2">
        <v>53660</v>
      </c>
      <c r="H51" t="s">
        <v>20</v>
      </c>
      <c r="I51" s="1">
        <v>44992</v>
      </c>
      <c r="J51" t="str">
        <f t="shared" si="0"/>
        <v>Millennials</v>
      </c>
      <c r="K51" t="str" cm="1">
        <f t="array" ref="K51">_xlfn.IFS(G51&lt;=50000,"Low",G51&lt;=100000,"Medium",G51&lt;=150000,"High",G51&gt;=150001,"Premium")</f>
        <v>Medium</v>
      </c>
      <c r="L51" s="3">
        <f t="shared" ca="1" si="3"/>
        <v>2</v>
      </c>
      <c r="M51" t="str">
        <f t="shared" ca="1" si="1"/>
        <v>1-3yrs</v>
      </c>
      <c r="N51" s="3">
        <f t="shared" ca="1" si="2"/>
        <v>367</v>
      </c>
    </row>
    <row r="52" spans="1:14" x14ac:dyDescent="0.35">
      <c r="A52" t="s">
        <v>125</v>
      </c>
      <c r="B52" t="s">
        <v>126</v>
      </c>
      <c r="C52" t="s">
        <v>11</v>
      </c>
      <c r="D52">
        <v>31</v>
      </c>
      <c r="E52" t="s">
        <v>34</v>
      </c>
      <c r="F52" t="s">
        <v>37</v>
      </c>
      <c r="G52" s="2">
        <v>80504</v>
      </c>
      <c r="H52" t="s">
        <v>14</v>
      </c>
      <c r="I52" s="1">
        <v>42622</v>
      </c>
      <c r="J52" t="str">
        <f t="shared" si="0"/>
        <v>Millennials</v>
      </c>
      <c r="K52" t="str" cm="1">
        <f t="array" ref="K52">_xlfn.IFS(G52&lt;=50000,"Low",G52&lt;=100000,"Medium",G52&lt;=150000,"High",G52&gt;=150001,"Premium")</f>
        <v>Medium</v>
      </c>
      <c r="L52" s="3">
        <f t="shared" ca="1" si="3"/>
        <v>9</v>
      </c>
      <c r="M52" t="str">
        <f t="shared" ca="1" si="1"/>
        <v>5yrs +</v>
      </c>
      <c r="N52" s="3">
        <f t="shared" ca="1" si="2"/>
        <v>17</v>
      </c>
    </row>
    <row r="53" spans="1:14" x14ac:dyDescent="0.35">
      <c r="A53" t="s">
        <v>127</v>
      </c>
      <c r="B53" t="s">
        <v>128</v>
      </c>
      <c r="C53" t="s">
        <v>17</v>
      </c>
      <c r="D53">
        <v>29</v>
      </c>
      <c r="E53" t="s">
        <v>34</v>
      </c>
      <c r="F53" t="s">
        <v>27</v>
      </c>
      <c r="G53" s="2">
        <v>122979</v>
      </c>
      <c r="H53" t="s">
        <v>14</v>
      </c>
      <c r="I53" s="1">
        <v>45072</v>
      </c>
      <c r="J53" t="str">
        <f t="shared" si="0"/>
        <v>Millennials</v>
      </c>
      <c r="K53" t="str" cm="1">
        <f t="array" ref="K53">_xlfn.IFS(G53&lt;=50000,"Low",G53&lt;=100000,"Medium",G53&lt;=150000,"High",G53&gt;=150001,"Premium")</f>
        <v>High</v>
      </c>
      <c r="L53" s="3">
        <f t="shared" ca="1" si="3"/>
        <v>2</v>
      </c>
      <c r="M53" t="str">
        <f t="shared" ca="1" si="1"/>
        <v>1-3yrs</v>
      </c>
      <c r="N53" s="3">
        <f t="shared" ca="1" si="2"/>
        <v>367</v>
      </c>
    </row>
    <row r="54" spans="1:14" x14ac:dyDescent="0.35">
      <c r="A54" t="s">
        <v>129</v>
      </c>
      <c r="B54" t="s">
        <v>130</v>
      </c>
      <c r="C54" t="s">
        <v>11</v>
      </c>
      <c r="D54">
        <v>68</v>
      </c>
      <c r="E54" t="s">
        <v>34</v>
      </c>
      <c r="F54" t="s">
        <v>37</v>
      </c>
      <c r="G54" s="2">
        <v>54701</v>
      </c>
      <c r="H54" t="s">
        <v>14</v>
      </c>
      <c r="I54" s="1">
        <v>44740</v>
      </c>
      <c r="J54" t="str">
        <f t="shared" si="0"/>
        <v>Boomers</v>
      </c>
      <c r="K54" t="str" cm="1">
        <f t="array" ref="K54">_xlfn.IFS(G54&lt;=50000,"Low",G54&lt;=100000,"Medium",G54&lt;=150000,"High",G54&gt;=150001,"Premium")</f>
        <v>Medium</v>
      </c>
      <c r="L54" s="3">
        <f t="shared" ca="1" si="3"/>
        <v>3</v>
      </c>
      <c r="M54" t="str">
        <f t="shared" ca="1" si="1"/>
        <v>3-5yrs</v>
      </c>
      <c r="N54" s="3">
        <f t="shared" ca="1" si="2"/>
        <v>319</v>
      </c>
    </row>
    <row r="55" spans="1:14" x14ac:dyDescent="0.35">
      <c r="A55" t="s">
        <v>131</v>
      </c>
      <c r="B55" t="s">
        <v>132</v>
      </c>
      <c r="C55" t="s">
        <v>17</v>
      </c>
      <c r="D55">
        <v>40</v>
      </c>
      <c r="E55" t="s">
        <v>34</v>
      </c>
      <c r="F55" t="s">
        <v>23</v>
      </c>
      <c r="G55" s="2">
        <v>103300</v>
      </c>
      <c r="H55" t="s">
        <v>14</v>
      </c>
      <c r="I55" s="1">
        <v>44107</v>
      </c>
      <c r="J55" t="str">
        <f t="shared" si="0"/>
        <v>Millennials</v>
      </c>
      <c r="K55" t="str" cm="1">
        <f t="array" ref="K55">_xlfn.IFS(G55&lt;=50000,"Low",G55&lt;=100000,"Medium",G55&lt;=150000,"High",G55&gt;=150001,"Premium")</f>
        <v>High</v>
      </c>
      <c r="L55" s="3">
        <f t="shared" ca="1" si="3"/>
        <v>5</v>
      </c>
      <c r="M55" t="str">
        <f t="shared" ca="1" si="1"/>
        <v>5yrs +</v>
      </c>
      <c r="N55" s="3">
        <f t="shared" ca="1" si="2"/>
        <v>227</v>
      </c>
    </row>
    <row r="56" spans="1:14" x14ac:dyDescent="0.35">
      <c r="A56" t="s">
        <v>133</v>
      </c>
      <c r="B56" t="s">
        <v>134</v>
      </c>
      <c r="C56" t="s">
        <v>11</v>
      </c>
      <c r="D56">
        <v>32</v>
      </c>
      <c r="E56" t="s">
        <v>18</v>
      </c>
      <c r="F56" t="s">
        <v>19</v>
      </c>
      <c r="G56" s="2">
        <v>168746</v>
      </c>
      <c r="H56" t="s">
        <v>14</v>
      </c>
      <c r="I56" s="1">
        <v>44916</v>
      </c>
      <c r="J56" t="str">
        <f t="shared" si="0"/>
        <v>Millennials</v>
      </c>
      <c r="K56" t="str" cm="1">
        <f t="array" ref="K56">_xlfn.IFS(G56&lt;=50000,"Low",G56&lt;=100000,"Medium",G56&lt;=150000,"High",G56&gt;=150001,"Premium")</f>
        <v>Premium</v>
      </c>
      <c r="L56" s="3">
        <f t="shared" ca="1" si="3"/>
        <v>2</v>
      </c>
      <c r="M56" t="str">
        <f t="shared" ca="1" si="1"/>
        <v>1-3yrs</v>
      </c>
      <c r="N56" s="3">
        <f t="shared" ca="1" si="2"/>
        <v>367</v>
      </c>
    </row>
    <row r="57" spans="1:14" x14ac:dyDescent="0.35">
      <c r="A57" t="s">
        <v>135</v>
      </c>
      <c r="B57" t="s">
        <v>136</v>
      </c>
      <c r="C57" t="s">
        <v>17</v>
      </c>
      <c r="D57">
        <v>45</v>
      </c>
      <c r="E57" t="s">
        <v>18</v>
      </c>
      <c r="F57" t="s">
        <v>37</v>
      </c>
      <c r="G57" s="2">
        <v>103560</v>
      </c>
      <c r="H57" t="s">
        <v>14</v>
      </c>
      <c r="I57" s="1">
        <v>44711</v>
      </c>
      <c r="J57" t="str">
        <f t="shared" si="0"/>
        <v>Gen X</v>
      </c>
      <c r="K57" t="str" cm="1">
        <f t="array" ref="K57">_xlfn.IFS(G57&lt;=50000,"Low",G57&lt;=100000,"Medium",G57&lt;=150000,"High",G57&gt;=150001,"Premium")</f>
        <v>High</v>
      </c>
      <c r="L57" s="3">
        <f t="shared" ca="1" si="3"/>
        <v>3</v>
      </c>
      <c r="M57" t="str">
        <f t="shared" ca="1" si="1"/>
        <v>3-5yrs</v>
      </c>
      <c r="N57" s="3">
        <f t="shared" ca="1" si="2"/>
        <v>319</v>
      </c>
    </row>
    <row r="58" spans="1:14" x14ac:dyDescent="0.35">
      <c r="A58" t="s">
        <v>137</v>
      </c>
      <c r="B58" t="s">
        <v>138</v>
      </c>
      <c r="C58" t="s">
        <v>17</v>
      </c>
      <c r="D58">
        <v>51</v>
      </c>
      <c r="E58" t="s">
        <v>18</v>
      </c>
      <c r="F58" t="s">
        <v>27</v>
      </c>
      <c r="G58" s="2">
        <v>174946</v>
      </c>
      <c r="H58" t="s">
        <v>20</v>
      </c>
      <c r="I58" s="1">
        <v>43671</v>
      </c>
      <c r="J58" t="str">
        <f t="shared" si="0"/>
        <v>Gen X</v>
      </c>
      <c r="K58" t="str" cm="1">
        <f t="array" ref="K58">_xlfn.IFS(G58&lt;=50000,"Low",G58&lt;=100000,"Medium",G58&lt;=150000,"High",G58&gt;=150001,"Premium")</f>
        <v>Premium</v>
      </c>
      <c r="L58" s="3">
        <f t="shared" ca="1" si="3"/>
        <v>6</v>
      </c>
      <c r="M58" t="str">
        <f t="shared" ca="1" si="1"/>
        <v>5yrs +</v>
      </c>
      <c r="N58" s="3">
        <f t="shared" ca="1" si="2"/>
        <v>169</v>
      </c>
    </row>
    <row r="59" spans="1:14" x14ac:dyDescent="0.35">
      <c r="A59" t="s">
        <v>139</v>
      </c>
      <c r="B59" t="s">
        <v>140</v>
      </c>
      <c r="C59" t="s">
        <v>11</v>
      </c>
      <c r="D59">
        <v>19</v>
      </c>
      <c r="E59" t="s">
        <v>18</v>
      </c>
      <c r="F59" t="s">
        <v>23</v>
      </c>
      <c r="G59" s="2">
        <v>63642</v>
      </c>
      <c r="H59" t="s">
        <v>20</v>
      </c>
      <c r="I59" s="1">
        <v>43622</v>
      </c>
      <c r="J59" t="str">
        <f t="shared" si="0"/>
        <v>Gen Z</v>
      </c>
      <c r="K59" t="str" cm="1">
        <f t="array" ref="K59">_xlfn.IFS(G59&lt;=50000,"Low",G59&lt;=100000,"Medium",G59&lt;=150000,"High",G59&gt;=150001,"Premium")</f>
        <v>Medium</v>
      </c>
      <c r="L59" s="3">
        <f t="shared" ca="1" si="3"/>
        <v>6</v>
      </c>
      <c r="M59" t="str">
        <f t="shared" ca="1" si="1"/>
        <v>5yrs +</v>
      </c>
      <c r="N59" s="3">
        <f t="shared" ca="1" si="2"/>
        <v>169</v>
      </c>
    </row>
    <row r="60" spans="1:14" x14ac:dyDescent="0.35">
      <c r="A60" t="s">
        <v>141</v>
      </c>
      <c r="B60" t="s">
        <v>142</v>
      </c>
      <c r="C60" t="s">
        <v>11</v>
      </c>
      <c r="D60">
        <v>49</v>
      </c>
      <c r="E60" t="s">
        <v>34</v>
      </c>
      <c r="F60" t="s">
        <v>37</v>
      </c>
      <c r="G60" s="2">
        <v>85160</v>
      </c>
      <c r="H60" t="s">
        <v>20</v>
      </c>
      <c r="I60" s="1">
        <v>45360</v>
      </c>
      <c r="J60" t="str">
        <f t="shared" si="0"/>
        <v>Gen X</v>
      </c>
      <c r="K60" t="str" cm="1">
        <f t="array" ref="K60">_xlfn.IFS(G60&lt;=50000,"Low",G60&lt;=100000,"Medium",G60&lt;=150000,"High",G60&gt;=150001,"Premium")</f>
        <v>Medium</v>
      </c>
      <c r="L60" s="3">
        <f t="shared" ca="1" si="3"/>
        <v>1</v>
      </c>
      <c r="M60" t="str">
        <f t="shared" ca="1" si="1"/>
        <v>1-3yrs</v>
      </c>
      <c r="N60" s="3">
        <f t="shared" ca="1" si="2"/>
        <v>422</v>
      </c>
    </row>
    <row r="61" spans="1:14" x14ac:dyDescent="0.35">
      <c r="A61" t="s">
        <v>143</v>
      </c>
      <c r="B61" t="s">
        <v>144</v>
      </c>
      <c r="C61" t="s">
        <v>11</v>
      </c>
      <c r="D61">
        <v>40</v>
      </c>
      <c r="E61" t="s">
        <v>30</v>
      </c>
      <c r="F61" t="s">
        <v>13</v>
      </c>
      <c r="G61" s="2">
        <v>37602</v>
      </c>
      <c r="H61" t="s">
        <v>14</v>
      </c>
      <c r="I61" s="1">
        <v>43415</v>
      </c>
      <c r="J61" t="str">
        <f t="shared" si="0"/>
        <v>Millennials</v>
      </c>
      <c r="K61" t="str" cm="1">
        <f t="array" ref="K61">_xlfn.IFS(G61&lt;=50000,"Low",G61&lt;=100000,"Medium",G61&lt;=150000,"High",G61&gt;=150001,"Premium")</f>
        <v>Low</v>
      </c>
      <c r="L61" s="3">
        <f t="shared" ca="1" si="3"/>
        <v>7</v>
      </c>
      <c r="M61" t="str">
        <f t="shared" ca="1" si="1"/>
        <v>5yrs +</v>
      </c>
      <c r="N61" s="3">
        <f t="shared" ca="1" si="2"/>
        <v>118</v>
      </c>
    </row>
    <row r="62" spans="1:14" x14ac:dyDescent="0.35">
      <c r="A62" t="s">
        <v>145</v>
      </c>
      <c r="B62" t="s">
        <v>146</v>
      </c>
      <c r="C62" t="s">
        <v>11</v>
      </c>
      <c r="D62">
        <v>39</v>
      </c>
      <c r="E62" t="s">
        <v>12</v>
      </c>
      <c r="F62" t="s">
        <v>42</v>
      </c>
      <c r="G62" s="2">
        <v>123320</v>
      </c>
      <c r="H62" t="s">
        <v>14</v>
      </c>
      <c r="I62" s="1">
        <v>44878</v>
      </c>
      <c r="J62" t="str">
        <f t="shared" si="0"/>
        <v>Millennials</v>
      </c>
      <c r="K62" t="str" cm="1">
        <f t="array" ref="K62">_xlfn.IFS(G62&lt;=50000,"Low",G62&lt;=100000,"Medium",G62&lt;=150000,"High",G62&gt;=150001,"Premium")</f>
        <v>High</v>
      </c>
      <c r="L62" s="3">
        <f t="shared" ca="1" si="3"/>
        <v>3</v>
      </c>
      <c r="M62" t="str">
        <f t="shared" ca="1" si="1"/>
        <v>3-5yrs</v>
      </c>
      <c r="N62" s="3">
        <f t="shared" ca="1" si="2"/>
        <v>319</v>
      </c>
    </row>
    <row r="63" spans="1:14" x14ac:dyDescent="0.35">
      <c r="A63" t="s">
        <v>147</v>
      </c>
      <c r="B63" t="s">
        <v>148</v>
      </c>
      <c r="C63" t="s">
        <v>11</v>
      </c>
      <c r="D63">
        <v>68</v>
      </c>
      <c r="E63" t="s">
        <v>34</v>
      </c>
      <c r="F63" t="s">
        <v>19</v>
      </c>
      <c r="G63" s="2">
        <v>108801</v>
      </c>
      <c r="H63" t="s">
        <v>20</v>
      </c>
      <c r="I63" s="1">
        <v>45597</v>
      </c>
      <c r="J63" t="str">
        <f t="shared" si="0"/>
        <v>Boomers</v>
      </c>
      <c r="K63" t="str" cm="1">
        <f t="array" ref="K63">_xlfn.IFS(G63&lt;=50000,"Low",G63&lt;=100000,"Medium",G63&lt;=150000,"High",G63&gt;=150001,"Premium")</f>
        <v>High</v>
      </c>
      <c r="L63" s="3">
        <f t="shared" ca="1" si="3"/>
        <v>1</v>
      </c>
      <c r="M63" t="str">
        <f t="shared" ca="1" si="1"/>
        <v>1-3yrs</v>
      </c>
      <c r="N63" s="3">
        <f t="shared" ca="1" si="2"/>
        <v>422</v>
      </c>
    </row>
    <row r="64" spans="1:14" x14ac:dyDescent="0.35">
      <c r="A64" t="s">
        <v>149</v>
      </c>
      <c r="B64" t="s">
        <v>150</v>
      </c>
      <c r="C64" t="s">
        <v>11</v>
      </c>
      <c r="D64">
        <v>42</v>
      </c>
      <c r="E64" t="s">
        <v>12</v>
      </c>
      <c r="F64" t="s">
        <v>37</v>
      </c>
      <c r="G64" s="2">
        <v>45931</v>
      </c>
      <c r="H64" t="s">
        <v>14</v>
      </c>
      <c r="I64" s="1">
        <v>45042</v>
      </c>
      <c r="J64" t="str">
        <f t="shared" si="0"/>
        <v>Millennials</v>
      </c>
      <c r="K64" t="str" cm="1">
        <f t="array" ref="K64">_xlfn.IFS(G64&lt;=50000,"Low",G64&lt;=100000,"Medium",G64&lt;=150000,"High",G64&gt;=150001,"Premium")</f>
        <v>Low</v>
      </c>
      <c r="L64" s="3">
        <f t="shared" ca="1" si="3"/>
        <v>2</v>
      </c>
      <c r="M64" t="str">
        <f t="shared" ca="1" si="1"/>
        <v>1-3yrs</v>
      </c>
      <c r="N64" s="3">
        <f t="shared" ca="1" si="2"/>
        <v>367</v>
      </c>
    </row>
    <row r="65" spans="1:14" x14ac:dyDescent="0.35">
      <c r="A65" t="s">
        <v>151</v>
      </c>
      <c r="B65" t="s">
        <v>152</v>
      </c>
      <c r="C65" t="s">
        <v>11</v>
      </c>
      <c r="D65">
        <v>39</v>
      </c>
      <c r="E65" t="s">
        <v>30</v>
      </c>
      <c r="F65" t="s">
        <v>23</v>
      </c>
      <c r="G65" s="2">
        <v>114377</v>
      </c>
      <c r="H65" t="s">
        <v>14</v>
      </c>
      <c r="I65" s="1">
        <v>44997</v>
      </c>
      <c r="J65" t="str">
        <f t="shared" si="0"/>
        <v>Millennials</v>
      </c>
      <c r="K65" t="str" cm="1">
        <f t="array" ref="K65">_xlfn.IFS(G65&lt;=50000,"Low",G65&lt;=100000,"Medium",G65&lt;=150000,"High",G65&gt;=150001,"Premium")</f>
        <v>High</v>
      </c>
      <c r="L65" s="3">
        <f t="shared" ca="1" si="3"/>
        <v>2</v>
      </c>
      <c r="M65" t="str">
        <f t="shared" ca="1" si="1"/>
        <v>1-3yrs</v>
      </c>
      <c r="N65" s="3">
        <f t="shared" ca="1" si="2"/>
        <v>367</v>
      </c>
    </row>
    <row r="66" spans="1:14" x14ac:dyDescent="0.35">
      <c r="A66" t="s">
        <v>153</v>
      </c>
      <c r="B66" t="s">
        <v>154</v>
      </c>
      <c r="C66" t="s">
        <v>11</v>
      </c>
      <c r="D66">
        <v>39</v>
      </c>
      <c r="E66" t="s">
        <v>18</v>
      </c>
      <c r="F66" t="s">
        <v>13</v>
      </c>
      <c r="G66" s="2">
        <v>49192</v>
      </c>
      <c r="H66" t="s">
        <v>14</v>
      </c>
      <c r="I66" s="1">
        <v>44119</v>
      </c>
      <c r="J66" t="str">
        <f t="shared" ref="J66:J129" si="4">IF(D66&lt;=28, "Gen Z",IF(D66&lt;=44,"Millennials",IF(D66&lt;=60, "Gen X","Boomers")))</f>
        <v>Millennials</v>
      </c>
      <c r="K66" t="str" cm="1">
        <f t="array" ref="K66">_xlfn.IFS(G66&lt;=50000,"Low",G66&lt;=100000,"Medium",G66&lt;=150000,"High",G66&gt;=150001,"Premium")</f>
        <v>Low</v>
      </c>
      <c r="L66" s="3">
        <f t="shared" ref="L66:L129" ca="1" si="5">YEAR(TODAY())-YEAR(I66)-(DATE(YEAR(TODAY()),MONTH(I66),DAY(I66))&gt;TODAY())</f>
        <v>5</v>
      </c>
      <c r="M66" t="str">
        <f t="shared" ref="M66:M129" ca="1" si="6">IF(L66&lt;1,"0-1yr",IF(L66&lt;3,"1-3yrs",IF(L66&lt;5,"3-5yrs","5yrs +")))</f>
        <v>5yrs +</v>
      </c>
      <c r="N66" s="3">
        <f t="shared" ref="N66:N129" ca="1" si="7">COUNTIFS($L$2:$L$501,"&gt;"&amp;L66)+1</f>
        <v>227</v>
      </c>
    </row>
    <row r="67" spans="1:14" x14ac:dyDescent="0.35">
      <c r="A67" t="s">
        <v>155</v>
      </c>
      <c r="B67" t="s">
        <v>156</v>
      </c>
      <c r="C67" t="s">
        <v>17</v>
      </c>
      <c r="D67">
        <v>66</v>
      </c>
      <c r="E67" t="s">
        <v>30</v>
      </c>
      <c r="F67" t="s">
        <v>31</v>
      </c>
      <c r="G67" s="2">
        <v>66542</v>
      </c>
      <c r="H67" t="s">
        <v>14</v>
      </c>
      <c r="I67" s="1">
        <v>43091</v>
      </c>
      <c r="J67" t="str">
        <f t="shared" si="4"/>
        <v>Boomers</v>
      </c>
      <c r="K67" t="str" cm="1">
        <f t="array" ref="K67">_xlfn.IFS(G67&lt;=50000,"Low",G67&lt;=100000,"Medium",G67&lt;=150000,"High",G67&gt;=150001,"Premium")</f>
        <v>Medium</v>
      </c>
      <c r="L67" s="3">
        <f t="shared" ca="1" si="5"/>
        <v>7</v>
      </c>
      <c r="M67" t="str">
        <f t="shared" ca="1" si="6"/>
        <v>5yrs +</v>
      </c>
      <c r="N67" s="3">
        <f t="shared" ca="1" si="7"/>
        <v>118</v>
      </c>
    </row>
    <row r="68" spans="1:14" x14ac:dyDescent="0.35">
      <c r="A68" t="s">
        <v>157</v>
      </c>
      <c r="B68" t="s">
        <v>158</v>
      </c>
      <c r="C68" t="s">
        <v>17</v>
      </c>
      <c r="D68">
        <v>69</v>
      </c>
      <c r="E68" t="s">
        <v>34</v>
      </c>
      <c r="F68" t="s">
        <v>23</v>
      </c>
      <c r="G68" s="2">
        <v>147015</v>
      </c>
      <c r="H68" t="s">
        <v>14</v>
      </c>
      <c r="I68" s="1">
        <v>44996</v>
      </c>
      <c r="J68" t="str">
        <f t="shared" si="4"/>
        <v>Boomers</v>
      </c>
      <c r="K68" t="str" cm="1">
        <f t="array" ref="K68">_xlfn.IFS(G68&lt;=50000,"Low",G68&lt;=100000,"Medium",G68&lt;=150000,"High",G68&gt;=150001,"Premium")</f>
        <v>High</v>
      </c>
      <c r="L68" s="3">
        <f t="shared" ca="1" si="5"/>
        <v>2</v>
      </c>
      <c r="M68" t="str">
        <f t="shared" ca="1" si="6"/>
        <v>1-3yrs</v>
      </c>
      <c r="N68" s="3">
        <f t="shared" ca="1" si="7"/>
        <v>367</v>
      </c>
    </row>
    <row r="69" spans="1:14" x14ac:dyDescent="0.35">
      <c r="A69" t="s">
        <v>159</v>
      </c>
      <c r="B69" t="s">
        <v>160</v>
      </c>
      <c r="C69" t="s">
        <v>11</v>
      </c>
      <c r="D69">
        <v>59</v>
      </c>
      <c r="E69" t="s">
        <v>18</v>
      </c>
      <c r="F69" t="s">
        <v>42</v>
      </c>
      <c r="G69" s="2">
        <v>62520</v>
      </c>
      <c r="H69" t="s">
        <v>14</v>
      </c>
      <c r="I69" s="1">
        <v>43069</v>
      </c>
      <c r="J69" t="str">
        <f t="shared" si="4"/>
        <v>Gen X</v>
      </c>
      <c r="K69" t="str" cm="1">
        <f t="array" ref="K69">_xlfn.IFS(G69&lt;=50000,"Low",G69&lt;=100000,"Medium",G69&lt;=150000,"High",G69&gt;=150001,"Premium")</f>
        <v>Medium</v>
      </c>
      <c r="L69" s="3">
        <f t="shared" ca="1" si="5"/>
        <v>7</v>
      </c>
      <c r="M69" t="str">
        <f t="shared" ca="1" si="6"/>
        <v>5yrs +</v>
      </c>
      <c r="N69" s="3">
        <f t="shared" ca="1" si="7"/>
        <v>118</v>
      </c>
    </row>
    <row r="70" spans="1:14" x14ac:dyDescent="0.35">
      <c r="A70" t="s">
        <v>161</v>
      </c>
      <c r="B70" t="s">
        <v>162</v>
      </c>
      <c r="C70" t="s">
        <v>17</v>
      </c>
      <c r="D70">
        <v>23</v>
      </c>
      <c r="E70" t="s">
        <v>34</v>
      </c>
      <c r="F70" t="s">
        <v>23</v>
      </c>
      <c r="G70" s="2">
        <v>84772</v>
      </c>
      <c r="H70" t="s">
        <v>14</v>
      </c>
      <c r="I70" s="1">
        <v>43341</v>
      </c>
      <c r="J70" t="str">
        <f t="shared" si="4"/>
        <v>Gen Z</v>
      </c>
      <c r="K70" t="str" cm="1">
        <f t="array" ref="K70">_xlfn.IFS(G70&lt;=50000,"Low",G70&lt;=100000,"Medium",G70&lt;=150000,"High",G70&gt;=150001,"Premium")</f>
        <v>Medium</v>
      </c>
      <c r="L70" s="3">
        <f t="shared" ca="1" si="5"/>
        <v>7</v>
      </c>
      <c r="M70" t="str">
        <f t="shared" ca="1" si="6"/>
        <v>5yrs +</v>
      </c>
      <c r="N70" s="3">
        <f t="shared" ca="1" si="7"/>
        <v>118</v>
      </c>
    </row>
    <row r="71" spans="1:14" x14ac:dyDescent="0.35">
      <c r="A71" t="s">
        <v>163</v>
      </c>
      <c r="B71" t="s">
        <v>164</v>
      </c>
      <c r="C71" t="s">
        <v>17</v>
      </c>
      <c r="D71">
        <v>32</v>
      </c>
      <c r="E71" t="s">
        <v>18</v>
      </c>
      <c r="F71" t="s">
        <v>13</v>
      </c>
      <c r="G71" s="2">
        <v>70106</v>
      </c>
      <c r="H71" t="s">
        <v>14</v>
      </c>
      <c r="I71" s="1">
        <v>45477</v>
      </c>
      <c r="J71" t="str">
        <f t="shared" si="4"/>
        <v>Millennials</v>
      </c>
      <c r="K71" t="str" cm="1">
        <f t="array" ref="K71">_xlfn.IFS(G71&lt;=50000,"Low",G71&lt;=100000,"Medium",G71&lt;=150000,"High",G71&gt;=150001,"Premium")</f>
        <v>Medium</v>
      </c>
      <c r="L71" s="3">
        <f t="shared" ca="1" si="5"/>
        <v>1</v>
      </c>
      <c r="M71" t="str">
        <f t="shared" ca="1" si="6"/>
        <v>1-3yrs</v>
      </c>
      <c r="N71" s="3">
        <f t="shared" ca="1" si="7"/>
        <v>422</v>
      </c>
    </row>
    <row r="72" spans="1:14" x14ac:dyDescent="0.35">
      <c r="A72" t="s">
        <v>165</v>
      </c>
      <c r="B72" t="s">
        <v>166</v>
      </c>
      <c r="C72" t="s">
        <v>17</v>
      </c>
      <c r="D72">
        <v>71</v>
      </c>
      <c r="E72" t="s">
        <v>12</v>
      </c>
      <c r="F72" t="s">
        <v>23</v>
      </c>
      <c r="G72" s="2">
        <v>101121</v>
      </c>
      <c r="H72" t="s">
        <v>20</v>
      </c>
      <c r="I72" s="1">
        <v>45815</v>
      </c>
      <c r="J72" t="str">
        <f t="shared" si="4"/>
        <v>Boomers</v>
      </c>
      <c r="K72" t="str" cm="1">
        <f t="array" ref="K72">_xlfn.IFS(G72&lt;=50000,"Low",G72&lt;=100000,"Medium",G72&lt;=150000,"High",G72&gt;=150001,"Premium")</f>
        <v>High</v>
      </c>
      <c r="L72" s="3">
        <f t="shared" ca="1" si="5"/>
        <v>0</v>
      </c>
      <c r="M72" t="str">
        <f t="shared" ca="1" si="6"/>
        <v>0-1yr</v>
      </c>
      <c r="N72" s="3">
        <f t="shared" ca="1" si="7"/>
        <v>475</v>
      </c>
    </row>
    <row r="73" spans="1:14" x14ac:dyDescent="0.35">
      <c r="A73" t="s">
        <v>167</v>
      </c>
      <c r="B73" t="s">
        <v>168</v>
      </c>
      <c r="C73" t="s">
        <v>17</v>
      </c>
      <c r="D73">
        <v>60</v>
      </c>
      <c r="E73" t="s">
        <v>12</v>
      </c>
      <c r="F73" t="s">
        <v>13</v>
      </c>
      <c r="G73" s="2">
        <v>45559</v>
      </c>
      <c r="H73" t="s">
        <v>20</v>
      </c>
      <c r="I73" s="1">
        <v>42457</v>
      </c>
      <c r="J73" t="str">
        <f t="shared" si="4"/>
        <v>Gen X</v>
      </c>
      <c r="K73" t="str" cm="1">
        <f t="array" ref="K73">_xlfn.IFS(G73&lt;=50000,"Low",G73&lt;=100000,"Medium",G73&lt;=150000,"High",G73&gt;=150001,"Premium")</f>
        <v>Low</v>
      </c>
      <c r="L73" s="3">
        <f t="shared" ca="1" si="5"/>
        <v>9</v>
      </c>
      <c r="M73" t="str">
        <f t="shared" ca="1" si="6"/>
        <v>5yrs +</v>
      </c>
      <c r="N73" s="3">
        <f t="shared" ca="1" si="7"/>
        <v>17</v>
      </c>
    </row>
    <row r="74" spans="1:14" x14ac:dyDescent="0.35">
      <c r="A74" t="s">
        <v>169</v>
      </c>
      <c r="B74" t="s">
        <v>170</v>
      </c>
      <c r="C74" t="s">
        <v>11</v>
      </c>
      <c r="D74">
        <v>54</v>
      </c>
      <c r="E74" t="s">
        <v>12</v>
      </c>
      <c r="F74" t="s">
        <v>37</v>
      </c>
      <c r="G74" s="2">
        <v>125595</v>
      </c>
      <c r="H74" t="s">
        <v>20</v>
      </c>
      <c r="I74" s="1">
        <v>43929</v>
      </c>
      <c r="J74" t="str">
        <f t="shared" si="4"/>
        <v>Gen X</v>
      </c>
      <c r="K74" t="str" cm="1">
        <f t="array" ref="K74">_xlfn.IFS(G74&lt;=50000,"Low",G74&lt;=100000,"Medium",G74&lt;=150000,"High",G74&gt;=150001,"Premium")</f>
        <v>High</v>
      </c>
      <c r="L74" s="3">
        <f t="shared" ca="1" si="5"/>
        <v>5</v>
      </c>
      <c r="M74" t="str">
        <f t="shared" ca="1" si="6"/>
        <v>5yrs +</v>
      </c>
      <c r="N74" s="3">
        <f t="shared" ca="1" si="7"/>
        <v>227</v>
      </c>
    </row>
    <row r="75" spans="1:14" x14ac:dyDescent="0.35">
      <c r="A75" t="s">
        <v>171</v>
      </c>
      <c r="B75" t="s">
        <v>172</v>
      </c>
      <c r="C75" t="s">
        <v>17</v>
      </c>
      <c r="D75">
        <v>50</v>
      </c>
      <c r="E75" t="s">
        <v>30</v>
      </c>
      <c r="F75" t="s">
        <v>13</v>
      </c>
      <c r="G75" s="2">
        <v>53742</v>
      </c>
      <c r="H75" t="s">
        <v>20</v>
      </c>
      <c r="I75" s="1">
        <v>45677</v>
      </c>
      <c r="J75" t="str">
        <f t="shared" si="4"/>
        <v>Gen X</v>
      </c>
      <c r="K75" t="str" cm="1">
        <f t="array" ref="K75">_xlfn.IFS(G75&lt;=50000,"Low",G75&lt;=100000,"Medium",G75&lt;=150000,"High",G75&gt;=150001,"Premium")</f>
        <v>Medium</v>
      </c>
      <c r="L75" s="3">
        <f t="shared" ca="1" si="5"/>
        <v>0</v>
      </c>
      <c r="M75" t="str">
        <f t="shared" ca="1" si="6"/>
        <v>0-1yr</v>
      </c>
      <c r="N75" s="3">
        <f t="shared" ca="1" si="7"/>
        <v>475</v>
      </c>
    </row>
    <row r="76" spans="1:14" x14ac:dyDescent="0.35">
      <c r="A76" t="s">
        <v>173</v>
      </c>
      <c r="B76" t="s">
        <v>174</v>
      </c>
      <c r="C76" t="s">
        <v>11</v>
      </c>
      <c r="D76">
        <v>25</v>
      </c>
      <c r="E76" t="s">
        <v>34</v>
      </c>
      <c r="F76" t="s">
        <v>13</v>
      </c>
      <c r="G76" s="2">
        <v>89669</v>
      </c>
      <c r="H76" t="s">
        <v>24</v>
      </c>
      <c r="I76" s="1">
        <v>43309</v>
      </c>
      <c r="J76" t="str">
        <f t="shared" si="4"/>
        <v>Gen Z</v>
      </c>
      <c r="K76" t="str" cm="1">
        <f t="array" ref="K76">_xlfn.IFS(G76&lt;=50000,"Low",G76&lt;=100000,"Medium",G76&lt;=150000,"High",G76&gt;=150001,"Premium")</f>
        <v>Medium</v>
      </c>
      <c r="L76" s="3">
        <f t="shared" ca="1" si="5"/>
        <v>7</v>
      </c>
      <c r="M76" t="str">
        <f t="shared" ca="1" si="6"/>
        <v>5yrs +</v>
      </c>
      <c r="N76" s="3">
        <f t="shared" ca="1" si="7"/>
        <v>118</v>
      </c>
    </row>
    <row r="77" spans="1:14" x14ac:dyDescent="0.35">
      <c r="A77" t="s">
        <v>175</v>
      </c>
      <c r="B77" t="s">
        <v>176</v>
      </c>
      <c r="C77" t="s">
        <v>17</v>
      </c>
      <c r="D77">
        <v>70</v>
      </c>
      <c r="E77" t="s">
        <v>30</v>
      </c>
      <c r="F77" t="s">
        <v>19</v>
      </c>
      <c r="G77" s="2">
        <v>172826</v>
      </c>
      <c r="H77" t="s">
        <v>14</v>
      </c>
      <c r="I77" s="1">
        <v>42917</v>
      </c>
      <c r="J77" t="str">
        <f t="shared" si="4"/>
        <v>Boomers</v>
      </c>
      <c r="K77" t="str" cm="1">
        <f t="array" ref="K77">_xlfn.IFS(G77&lt;=50000,"Low",G77&lt;=100000,"Medium",G77&lt;=150000,"High",G77&gt;=150001,"Premium")</f>
        <v>Premium</v>
      </c>
      <c r="L77" s="3">
        <f t="shared" ca="1" si="5"/>
        <v>8</v>
      </c>
      <c r="M77" t="str">
        <f t="shared" ca="1" si="6"/>
        <v>5yrs +</v>
      </c>
      <c r="N77" s="3">
        <f t="shared" ca="1" si="7"/>
        <v>59</v>
      </c>
    </row>
    <row r="78" spans="1:14" x14ac:dyDescent="0.35">
      <c r="A78" t="s">
        <v>177</v>
      </c>
      <c r="B78" t="s">
        <v>178</v>
      </c>
      <c r="C78" t="s">
        <v>17</v>
      </c>
      <c r="D78">
        <v>61</v>
      </c>
      <c r="E78" t="s">
        <v>12</v>
      </c>
      <c r="F78" t="s">
        <v>13</v>
      </c>
      <c r="G78" s="2">
        <v>155044</v>
      </c>
      <c r="H78" t="s">
        <v>14</v>
      </c>
      <c r="I78" s="1">
        <v>44584</v>
      </c>
      <c r="J78" t="str">
        <f t="shared" si="4"/>
        <v>Boomers</v>
      </c>
      <c r="K78" t="str" cm="1">
        <f t="array" ref="K78">_xlfn.IFS(G78&lt;=50000,"Low",G78&lt;=100000,"Medium",G78&lt;=150000,"High",G78&gt;=150001,"Premium")</f>
        <v>Premium</v>
      </c>
      <c r="L78" s="3">
        <f t="shared" ca="1" si="5"/>
        <v>3</v>
      </c>
      <c r="M78" t="str">
        <f t="shared" ca="1" si="6"/>
        <v>3-5yrs</v>
      </c>
      <c r="N78" s="3">
        <f t="shared" ca="1" si="7"/>
        <v>319</v>
      </c>
    </row>
    <row r="79" spans="1:14" x14ac:dyDescent="0.35">
      <c r="A79" t="s">
        <v>179</v>
      </c>
      <c r="B79" t="s">
        <v>180</v>
      </c>
      <c r="C79" t="s">
        <v>17</v>
      </c>
      <c r="D79">
        <v>61</v>
      </c>
      <c r="E79" t="s">
        <v>34</v>
      </c>
      <c r="F79" t="s">
        <v>13</v>
      </c>
      <c r="G79" s="2">
        <v>90831</v>
      </c>
      <c r="H79" t="s">
        <v>14</v>
      </c>
      <c r="I79" s="1">
        <v>43302</v>
      </c>
      <c r="J79" t="str">
        <f t="shared" si="4"/>
        <v>Boomers</v>
      </c>
      <c r="K79" t="str" cm="1">
        <f t="array" ref="K79">_xlfn.IFS(G79&lt;=50000,"Low",G79&lt;=100000,"Medium",G79&lt;=150000,"High",G79&gt;=150001,"Premium")</f>
        <v>Medium</v>
      </c>
      <c r="L79" s="3">
        <f t="shared" ca="1" si="5"/>
        <v>7</v>
      </c>
      <c r="M79" t="str">
        <f t="shared" ca="1" si="6"/>
        <v>5yrs +</v>
      </c>
      <c r="N79" s="3">
        <f t="shared" ca="1" si="7"/>
        <v>118</v>
      </c>
    </row>
    <row r="80" spans="1:14" x14ac:dyDescent="0.35">
      <c r="A80" t="s">
        <v>181</v>
      </c>
      <c r="B80" t="s">
        <v>182</v>
      </c>
      <c r="C80" t="s">
        <v>11</v>
      </c>
      <c r="D80">
        <v>22</v>
      </c>
      <c r="E80" t="s">
        <v>12</v>
      </c>
      <c r="F80" t="s">
        <v>31</v>
      </c>
      <c r="G80" s="2">
        <v>132217</v>
      </c>
      <c r="H80" t="s">
        <v>20</v>
      </c>
      <c r="I80" s="1">
        <v>44565</v>
      </c>
      <c r="J80" t="str">
        <f t="shared" si="4"/>
        <v>Gen Z</v>
      </c>
      <c r="K80" t="str" cm="1">
        <f t="array" ref="K80">_xlfn.IFS(G80&lt;=50000,"Low",G80&lt;=100000,"Medium",G80&lt;=150000,"High",G80&gt;=150001,"Premium")</f>
        <v>High</v>
      </c>
      <c r="L80" s="3">
        <f t="shared" ca="1" si="5"/>
        <v>3</v>
      </c>
      <c r="M80" t="str">
        <f t="shared" ca="1" si="6"/>
        <v>3-5yrs</v>
      </c>
      <c r="N80" s="3">
        <f t="shared" ca="1" si="7"/>
        <v>319</v>
      </c>
    </row>
    <row r="81" spans="1:14" x14ac:dyDescent="0.35">
      <c r="A81" t="s">
        <v>183</v>
      </c>
      <c r="B81" t="s">
        <v>184</v>
      </c>
      <c r="C81" t="s">
        <v>17</v>
      </c>
      <c r="D81">
        <v>56</v>
      </c>
      <c r="E81" t="s">
        <v>30</v>
      </c>
      <c r="F81" t="s">
        <v>37</v>
      </c>
      <c r="G81" s="2">
        <v>61873</v>
      </c>
      <c r="H81" t="s">
        <v>20</v>
      </c>
      <c r="I81" s="1">
        <v>43200</v>
      </c>
      <c r="J81" t="str">
        <f t="shared" si="4"/>
        <v>Gen X</v>
      </c>
      <c r="K81" t="str" cm="1">
        <f t="array" ref="K81">_xlfn.IFS(G81&lt;=50000,"Low",G81&lt;=100000,"Medium",G81&lt;=150000,"High",G81&gt;=150001,"Premium")</f>
        <v>Medium</v>
      </c>
      <c r="L81" s="3">
        <f t="shared" ca="1" si="5"/>
        <v>7</v>
      </c>
      <c r="M81" t="str">
        <f t="shared" ca="1" si="6"/>
        <v>5yrs +</v>
      </c>
      <c r="N81" s="3">
        <f t="shared" ca="1" si="7"/>
        <v>118</v>
      </c>
    </row>
    <row r="82" spans="1:14" x14ac:dyDescent="0.35">
      <c r="A82" t="s">
        <v>185</v>
      </c>
      <c r="B82" t="s">
        <v>186</v>
      </c>
      <c r="C82" t="s">
        <v>11</v>
      </c>
      <c r="D82">
        <v>21</v>
      </c>
      <c r="E82" t="s">
        <v>30</v>
      </c>
      <c r="F82" t="s">
        <v>42</v>
      </c>
      <c r="G82" s="2">
        <v>126532</v>
      </c>
      <c r="H82" t="s">
        <v>14</v>
      </c>
      <c r="I82" s="1">
        <v>45011</v>
      </c>
      <c r="J82" t="str">
        <f t="shared" si="4"/>
        <v>Gen Z</v>
      </c>
      <c r="K82" t="str" cm="1">
        <f t="array" ref="K82">_xlfn.IFS(G82&lt;=50000,"Low",G82&lt;=100000,"Medium",G82&lt;=150000,"High",G82&gt;=150001,"Premium")</f>
        <v>High</v>
      </c>
      <c r="L82" s="3">
        <f t="shared" ca="1" si="5"/>
        <v>2</v>
      </c>
      <c r="M82" t="str">
        <f t="shared" ca="1" si="6"/>
        <v>1-3yrs</v>
      </c>
      <c r="N82" s="3">
        <f t="shared" ca="1" si="7"/>
        <v>367</v>
      </c>
    </row>
    <row r="83" spans="1:14" x14ac:dyDescent="0.35">
      <c r="A83" t="s">
        <v>187</v>
      </c>
      <c r="B83" t="s">
        <v>188</v>
      </c>
      <c r="C83" t="s">
        <v>17</v>
      </c>
      <c r="D83">
        <v>23</v>
      </c>
      <c r="E83" t="s">
        <v>30</v>
      </c>
      <c r="F83" t="s">
        <v>19</v>
      </c>
      <c r="G83" s="2">
        <v>146267</v>
      </c>
      <c r="H83" t="s">
        <v>24</v>
      </c>
      <c r="I83" s="1">
        <v>45791</v>
      </c>
      <c r="J83" t="str">
        <f t="shared" si="4"/>
        <v>Gen Z</v>
      </c>
      <c r="K83" t="str" cm="1">
        <f t="array" ref="K83">_xlfn.IFS(G83&lt;=50000,"Low",G83&lt;=100000,"Medium",G83&lt;=150000,"High",G83&gt;=150001,"Premium")</f>
        <v>High</v>
      </c>
      <c r="L83" s="3">
        <f t="shared" ca="1" si="5"/>
        <v>0</v>
      </c>
      <c r="M83" t="str">
        <f t="shared" ca="1" si="6"/>
        <v>0-1yr</v>
      </c>
      <c r="N83" s="3">
        <f t="shared" ca="1" si="7"/>
        <v>475</v>
      </c>
    </row>
    <row r="84" spans="1:14" x14ac:dyDescent="0.35">
      <c r="A84" t="s">
        <v>189</v>
      </c>
      <c r="B84" t="s">
        <v>190</v>
      </c>
      <c r="C84" t="s">
        <v>11</v>
      </c>
      <c r="D84">
        <v>62</v>
      </c>
      <c r="E84" t="s">
        <v>12</v>
      </c>
      <c r="F84" t="s">
        <v>31</v>
      </c>
      <c r="G84" s="2">
        <v>160975</v>
      </c>
      <c r="H84" t="s">
        <v>14</v>
      </c>
      <c r="I84" s="1">
        <v>44302</v>
      </c>
      <c r="J84" t="str">
        <f t="shared" si="4"/>
        <v>Boomers</v>
      </c>
      <c r="K84" t="str" cm="1">
        <f t="array" ref="K84">_xlfn.IFS(G84&lt;=50000,"Low",G84&lt;=100000,"Medium",G84&lt;=150000,"High",G84&gt;=150001,"Premium")</f>
        <v>Premium</v>
      </c>
      <c r="L84" s="3">
        <f t="shared" ca="1" si="5"/>
        <v>4</v>
      </c>
      <c r="M84" t="str">
        <f t="shared" ca="1" si="6"/>
        <v>3-5yrs</v>
      </c>
      <c r="N84" s="3">
        <f t="shared" ca="1" si="7"/>
        <v>273</v>
      </c>
    </row>
    <row r="85" spans="1:14" x14ac:dyDescent="0.35">
      <c r="A85" t="s">
        <v>191</v>
      </c>
      <c r="B85" t="s">
        <v>192</v>
      </c>
      <c r="C85" t="s">
        <v>17</v>
      </c>
      <c r="D85">
        <v>49</v>
      </c>
      <c r="E85" t="s">
        <v>34</v>
      </c>
      <c r="F85" t="s">
        <v>27</v>
      </c>
      <c r="G85" s="2">
        <v>154092</v>
      </c>
      <c r="H85" t="s">
        <v>24</v>
      </c>
      <c r="I85" s="1">
        <v>44288</v>
      </c>
      <c r="J85" t="str">
        <f t="shared" si="4"/>
        <v>Gen X</v>
      </c>
      <c r="K85" t="str" cm="1">
        <f t="array" ref="K85">_xlfn.IFS(G85&lt;=50000,"Low",G85&lt;=100000,"Medium",G85&lt;=150000,"High",G85&gt;=150001,"Premium")</f>
        <v>Premium</v>
      </c>
      <c r="L85" s="3">
        <f t="shared" ca="1" si="5"/>
        <v>4</v>
      </c>
      <c r="M85" t="str">
        <f t="shared" ca="1" si="6"/>
        <v>3-5yrs</v>
      </c>
      <c r="N85" s="3">
        <f t="shared" ca="1" si="7"/>
        <v>273</v>
      </c>
    </row>
    <row r="86" spans="1:14" x14ac:dyDescent="0.35">
      <c r="A86" t="s">
        <v>193</v>
      </c>
      <c r="B86" t="s">
        <v>194</v>
      </c>
      <c r="C86" t="s">
        <v>11</v>
      </c>
      <c r="D86">
        <v>69</v>
      </c>
      <c r="E86" t="s">
        <v>34</v>
      </c>
      <c r="F86" t="s">
        <v>37</v>
      </c>
      <c r="G86" s="2">
        <v>61755</v>
      </c>
      <c r="H86" t="s">
        <v>14</v>
      </c>
      <c r="I86" s="1">
        <v>43838</v>
      </c>
      <c r="J86" t="str">
        <f t="shared" si="4"/>
        <v>Boomers</v>
      </c>
      <c r="K86" t="str" cm="1">
        <f t="array" ref="K86">_xlfn.IFS(G86&lt;=50000,"Low",G86&lt;=100000,"Medium",G86&lt;=150000,"High",G86&gt;=150001,"Premium")</f>
        <v>Medium</v>
      </c>
      <c r="L86" s="3">
        <f t="shared" ca="1" si="5"/>
        <v>5</v>
      </c>
      <c r="M86" t="str">
        <f t="shared" ca="1" si="6"/>
        <v>5yrs +</v>
      </c>
      <c r="N86" s="3">
        <f t="shared" ca="1" si="7"/>
        <v>227</v>
      </c>
    </row>
    <row r="87" spans="1:14" x14ac:dyDescent="0.35">
      <c r="A87" t="s">
        <v>195</v>
      </c>
      <c r="B87" t="s">
        <v>196</v>
      </c>
      <c r="C87" t="s">
        <v>11</v>
      </c>
      <c r="D87">
        <v>47</v>
      </c>
      <c r="E87" t="s">
        <v>12</v>
      </c>
      <c r="F87" t="s">
        <v>37</v>
      </c>
      <c r="G87" s="2">
        <v>105956</v>
      </c>
      <c r="H87" t="s">
        <v>14</v>
      </c>
      <c r="I87" s="1">
        <v>44285</v>
      </c>
      <c r="J87" t="str">
        <f t="shared" si="4"/>
        <v>Gen X</v>
      </c>
      <c r="K87" t="str" cm="1">
        <f t="array" ref="K87">_xlfn.IFS(G87&lt;=50000,"Low",G87&lt;=100000,"Medium",G87&lt;=150000,"High",G87&gt;=150001,"Premium")</f>
        <v>High</v>
      </c>
      <c r="L87" s="3">
        <f t="shared" ca="1" si="5"/>
        <v>4</v>
      </c>
      <c r="M87" t="str">
        <f t="shared" ca="1" si="6"/>
        <v>3-5yrs</v>
      </c>
      <c r="N87" s="3">
        <f t="shared" ca="1" si="7"/>
        <v>273</v>
      </c>
    </row>
    <row r="88" spans="1:14" x14ac:dyDescent="0.35">
      <c r="A88" t="s">
        <v>197</v>
      </c>
      <c r="B88" t="s">
        <v>198</v>
      </c>
      <c r="C88" t="s">
        <v>17</v>
      </c>
      <c r="D88">
        <v>64</v>
      </c>
      <c r="E88" t="s">
        <v>34</v>
      </c>
      <c r="F88" t="s">
        <v>27</v>
      </c>
      <c r="G88" s="2">
        <v>106988</v>
      </c>
      <c r="H88" t="s">
        <v>14</v>
      </c>
      <c r="I88" s="1">
        <v>45811</v>
      </c>
      <c r="J88" t="str">
        <f t="shared" si="4"/>
        <v>Boomers</v>
      </c>
      <c r="K88" t="str" cm="1">
        <f t="array" ref="K88">_xlfn.IFS(G88&lt;=50000,"Low",G88&lt;=100000,"Medium",G88&lt;=150000,"High",G88&gt;=150001,"Premium")</f>
        <v>High</v>
      </c>
      <c r="L88" s="3">
        <f t="shared" ca="1" si="5"/>
        <v>0</v>
      </c>
      <c r="M88" t="str">
        <f t="shared" ca="1" si="6"/>
        <v>0-1yr</v>
      </c>
      <c r="N88" s="3">
        <f t="shared" ca="1" si="7"/>
        <v>475</v>
      </c>
    </row>
    <row r="89" spans="1:14" x14ac:dyDescent="0.35">
      <c r="A89" t="s">
        <v>199</v>
      </c>
      <c r="B89" t="s">
        <v>200</v>
      </c>
      <c r="C89" t="s">
        <v>11</v>
      </c>
      <c r="D89">
        <v>52</v>
      </c>
      <c r="E89" t="s">
        <v>12</v>
      </c>
      <c r="F89" t="s">
        <v>42</v>
      </c>
      <c r="G89" s="2">
        <v>65648</v>
      </c>
      <c r="H89" t="s">
        <v>14</v>
      </c>
      <c r="I89" s="1">
        <v>43744</v>
      </c>
      <c r="J89" t="str">
        <f t="shared" si="4"/>
        <v>Gen X</v>
      </c>
      <c r="K89" t="str" cm="1">
        <f t="array" ref="K89">_xlfn.IFS(G89&lt;=50000,"Low",G89&lt;=100000,"Medium",G89&lt;=150000,"High",G89&gt;=150001,"Premium")</f>
        <v>Medium</v>
      </c>
      <c r="L89" s="3">
        <f t="shared" ca="1" si="5"/>
        <v>6</v>
      </c>
      <c r="M89" t="str">
        <f t="shared" ca="1" si="6"/>
        <v>5yrs +</v>
      </c>
      <c r="N89" s="3">
        <f t="shared" ca="1" si="7"/>
        <v>169</v>
      </c>
    </row>
    <row r="90" spans="1:14" x14ac:dyDescent="0.35">
      <c r="A90" t="s">
        <v>201</v>
      </c>
      <c r="B90" t="s">
        <v>202</v>
      </c>
      <c r="C90" t="s">
        <v>17</v>
      </c>
      <c r="D90">
        <v>72</v>
      </c>
      <c r="E90" t="s">
        <v>34</v>
      </c>
      <c r="F90" t="s">
        <v>13</v>
      </c>
      <c r="G90" s="2">
        <v>145991</v>
      </c>
      <c r="H90" t="s">
        <v>14</v>
      </c>
      <c r="I90" s="1">
        <v>44205</v>
      </c>
      <c r="J90" t="str">
        <f t="shared" si="4"/>
        <v>Boomers</v>
      </c>
      <c r="K90" t="str" cm="1">
        <f t="array" ref="K90">_xlfn.IFS(G90&lt;=50000,"Low",G90&lt;=100000,"Medium",G90&lt;=150000,"High",G90&gt;=150001,"Premium")</f>
        <v>High</v>
      </c>
      <c r="L90" s="3">
        <f t="shared" ca="1" si="5"/>
        <v>4</v>
      </c>
      <c r="M90" t="str">
        <f t="shared" ca="1" si="6"/>
        <v>3-5yrs</v>
      </c>
      <c r="N90" s="3">
        <f t="shared" ca="1" si="7"/>
        <v>273</v>
      </c>
    </row>
    <row r="91" spans="1:14" x14ac:dyDescent="0.35">
      <c r="A91" t="s">
        <v>203</v>
      </c>
      <c r="B91" t="s">
        <v>204</v>
      </c>
      <c r="C91" t="s">
        <v>17</v>
      </c>
      <c r="D91">
        <v>57</v>
      </c>
      <c r="E91" t="s">
        <v>18</v>
      </c>
      <c r="F91" t="s">
        <v>31</v>
      </c>
      <c r="G91" s="2">
        <v>160588</v>
      </c>
      <c r="H91" t="s">
        <v>14</v>
      </c>
      <c r="I91" s="1">
        <v>42239</v>
      </c>
      <c r="J91" t="str">
        <f t="shared" si="4"/>
        <v>Gen X</v>
      </c>
      <c r="K91" t="str" cm="1">
        <f t="array" ref="K91">_xlfn.IFS(G91&lt;=50000,"Low",G91&lt;=100000,"Medium",G91&lt;=150000,"High",G91&gt;=150001,"Premium")</f>
        <v>Premium</v>
      </c>
      <c r="L91" s="3">
        <f t="shared" ca="1" si="5"/>
        <v>10</v>
      </c>
      <c r="M91" t="str">
        <f t="shared" ca="1" si="6"/>
        <v>5yrs +</v>
      </c>
      <c r="N91" s="3">
        <f t="shared" ca="1" si="7"/>
        <v>1</v>
      </c>
    </row>
    <row r="92" spans="1:14" x14ac:dyDescent="0.35">
      <c r="A92" t="s">
        <v>205</v>
      </c>
      <c r="B92" t="s">
        <v>206</v>
      </c>
      <c r="C92" t="s">
        <v>17</v>
      </c>
      <c r="D92">
        <v>69</v>
      </c>
      <c r="E92" t="s">
        <v>18</v>
      </c>
      <c r="F92" t="s">
        <v>23</v>
      </c>
      <c r="G92" s="2">
        <v>135005</v>
      </c>
      <c r="H92" t="s">
        <v>20</v>
      </c>
      <c r="I92" s="1">
        <v>44775</v>
      </c>
      <c r="J92" t="str">
        <f t="shared" si="4"/>
        <v>Boomers</v>
      </c>
      <c r="K92" t="str" cm="1">
        <f t="array" ref="K92">_xlfn.IFS(G92&lt;=50000,"Low",G92&lt;=100000,"Medium",G92&lt;=150000,"High",G92&gt;=150001,"Premium")</f>
        <v>High</v>
      </c>
      <c r="L92" s="3">
        <f t="shared" ca="1" si="5"/>
        <v>3</v>
      </c>
      <c r="M92" t="str">
        <f t="shared" ca="1" si="6"/>
        <v>3-5yrs</v>
      </c>
      <c r="N92" s="3">
        <f t="shared" ca="1" si="7"/>
        <v>319</v>
      </c>
    </row>
    <row r="93" spans="1:14" x14ac:dyDescent="0.35">
      <c r="A93" t="s">
        <v>207</v>
      </c>
      <c r="B93" t="s">
        <v>208</v>
      </c>
      <c r="C93" t="s">
        <v>17</v>
      </c>
      <c r="D93">
        <v>33</v>
      </c>
      <c r="E93" t="s">
        <v>30</v>
      </c>
      <c r="F93" t="s">
        <v>19</v>
      </c>
      <c r="G93" s="2">
        <v>22396</v>
      </c>
      <c r="H93" t="s">
        <v>14</v>
      </c>
      <c r="I93" s="1">
        <v>42531</v>
      </c>
      <c r="J93" t="str">
        <f t="shared" si="4"/>
        <v>Millennials</v>
      </c>
      <c r="K93" t="str" cm="1">
        <f t="array" ref="K93">_xlfn.IFS(G93&lt;=50000,"Low",G93&lt;=100000,"Medium",G93&lt;=150000,"High",G93&gt;=150001,"Premium")</f>
        <v>Low</v>
      </c>
      <c r="L93" s="3">
        <f t="shared" ca="1" si="5"/>
        <v>9</v>
      </c>
      <c r="M93" t="str">
        <f t="shared" ca="1" si="6"/>
        <v>5yrs +</v>
      </c>
      <c r="N93" s="3">
        <f t="shared" ca="1" si="7"/>
        <v>17</v>
      </c>
    </row>
    <row r="94" spans="1:14" x14ac:dyDescent="0.35">
      <c r="A94" t="s">
        <v>209</v>
      </c>
      <c r="B94" t="s">
        <v>210</v>
      </c>
      <c r="C94" t="s">
        <v>17</v>
      </c>
      <c r="D94">
        <v>30</v>
      </c>
      <c r="E94" t="s">
        <v>18</v>
      </c>
      <c r="F94" t="s">
        <v>23</v>
      </c>
      <c r="G94" s="2">
        <v>104082</v>
      </c>
      <c r="H94" t="s">
        <v>14</v>
      </c>
      <c r="I94" s="1">
        <v>43102</v>
      </c>
      <c r="J94" t="str">
        <f t="shared" si="4"/>
        <v>Millennials</v>
      </c>
      <c r="K94" t="str" cm="1">
        <f t="array" ref="K94">_xlfn.IFS(G94&lt;=50000,"Low",G94&lt;=100000,"Medium",G94&lt;=150000,"High",G94&gt;=150001,"Premium")</f>
        <v>High</v>
      </c>
      <c r="L94" s="3">
        <f t="shared" ca="1" si="5"/>
        <v>7</v>
      </c>
      <c r="M94" t="str">
        <f t="shared" ca="1" si="6"/>
        <v>5yrs +</v>
      </c>
      <c r="N94" s="3">
        <f t="shared" ca="1" si="7"/>
        <v>118</v>
      </c>
    </row>
    <row r="95" spans="1:14" x14ac:dyDescent="0.35">
      <c r="A95" t="s">
        <v>211</v>
      </c>
      <c r="B95" t="s">
        <v>212</v>
      </c>
      <c r="C95" t="s">
        <v>17</v>
      </c>
      <c r="D95">
        <v>67</v>
      </c>
      <c r="E95" t="s">
        <v>18</v>
      </c>
      <c r="F95" t="s">
        <v>27</v>
      </c>
      <c r="G95" s="2">
        <v>170201</v>
      </c>
      <c r="H95" t="s">
        <v>20</v>
      </c>
      <c r="I95" s="1">
        <v>45234</v>
      </c>
      <c r="J95" t="str">
        <f t="shared" si="4"/>
        <v>Boomers</v>
      </c>
      <c r="K95" t="str" cm="1">
        <f t="array" ref="K95">_xlfn.IFS(G95&lt;=50000,"Low",G95&lt;=100000,"Medium",G95&lt;=150000,"High",G95&gt;=150001,"Premium")</f>
        <v>Premium</v>
      </c>
      <c r="L95" s="3">
        <f t="shared" ca="1" si="5"/>
        <v>2</v>
      </c>
      <c r="M95" t="str">
        <f t="shared" ca="1" si="6"/>
        <v>1-3yrs</v>
      </c>
      <c r="N95" s="3">
        <f t="shared" ca="1" si="7"/>
        <v>367</v>
      </c>
    </row>
    <row r="96" spans="1:14" x14ac:dyDescent="0.35">
      <c r="A96" t="s">
        <v>213</v>
      </c>
      <c r="B96" t="s">
        <v>214</v>
      </c>
      <c r="C96" t="s">
        <v>17</v>
      </c>
      <c r="D96">
        <v>59</v>
      </c>
      <c r="E96" t="s">
        <v>18</v>
      </c>
      <c r="F96" t="s">
        <v>37</v>
      </c>
      <c r="G96" s="2">
        <v>148322</v>
      </c>
      <c r="H96" t="s">
        <v>20</v>
      </c>
      <c r="I96" s="1">
        <v>44381</v>
      </c>
      <c r="J96" t="str">
        <f t="shared" si="4"/>
        <v>Gen X</v>
      </c>
      <c r="K96" t="str" cm="1">
        <f t="array" ref="K96">_xlfn.IFS(G96&lt;=50000,"Low",G96&lt;=100000,"Medium",G96&lt;=150000,"High",G96&gt;=150001,"Premium")</f>
        <v>High</v>
      </c>
      <c r="L96" s="3">
        <f t="shared" ca="1" si="5"/>
        <v>4</v>
      </c>
      <c r="M96" t="str">
        <f t="shared" ca="1" si="6"/>
        <v>3-5yrs</v>
      </c>
      <c r="N96" s="3">
        <f t="shared" ca="1" si="7"/>
        <v>273</v>
      </c>
    </row>
    <row r="97" spans="1:14" x14ac:dyDescent="0.35">
      <c r="A97" t="s">
        <v>215</v>
      </c>
      <c r="B97" t="s">
        <v>216</v>
      </c>
      <c r="C97" t="s">
        <v>17</v>
      </c>
      <c r="D97">
        <v>47</v>
      </c>
      <c r="E97" t="s">
        <v>12</v>
      </c>
      <c r="F97" t="s">
        <v>42</v>
      </c>
      <c r="G97" s="2">
        <v>152663</v>
      </c>
      <c r="H97" t="s">
        <v>14</v>
      </c>
      <c r="I97" s="1">
        <v>42976</v>
      </c>
      <c r="J97" t="str">
        <f t="shared" si="4"/>
        <v>Gen X</v>
      </c>
      <c r="K97" t="str" cm="1">
        <f t="array" ref="K97">_xlfn.IFS(G97&lt;=50000,"Low",G97&lt;=100000,"Medium",G97&lt;=150000,"High",G97&gt;=150001,"Premium")</f>
        <v>Premium</v>
      </c>
      <c r="L97" s="3">
        <f t="shared" ca="1" si="5"/>
        <v>8</v>
      </c>
      <c r="M97" t="str">
        <f t="shared" ca="1" si="6"/>
        <v>5yrs +</v>
      </c>
      <c r="N97" s="3">
        <f t="shared" ca="1" si="7"/>
        <v>59</v>
      </c>
    </row>
    <row r="98" spans="1:14" x14ac:dyDescent="0.35">
      <c r="A98" t="s">
        <v>217</v>
      </c>
      <c r="B98" t="s">
        <v>218</v>
      </c>
      <c r="C98" t="s">
        <v>17</v>
      </c>
      <c r="D98">
        <v>36</v>
      </c>
      <c r="E98" t="s">
        <v>18</v>
      </c>
      <c r="F98" t="s">
        <v>37</v>
      </c>
      <c r="G98" s="2">
        <v>31303</v>
      </c>
      <c r="H98" t="s">
        <v>14</v>
      </c>
      <c r="I98" s="1">
        <v>43091</v>
      </c>
      <c r="J98" t="str">
        <f t="shared" si="4"/>
        <v>Millennials</v>
      </c>
      <c r="K98" t="str" cm="1">
        <f t="array" ref="K98">_xlfn.IFS(G98&lt;=50000,"Low",G98&lt;=100000,"Medium",G98&lt;=150000,"High",G98&gt;=150001,"Premium")</f>
        <v>Low</v>
      </c>
      <c r="L98" s="3">
        <f t="shared" ca="1" si="5"/>
        <v>7</v>
      </c>
      <c r="M98" t="str">
        <f t="shared" ca="1" si="6"/>
        <v>5yrs +</v>
      </c>
      <c r="N98" s="3">
        <f t="shared" ca="1" si="7"/>
        <v>118</v>
      </c>
    </row>
    <row r="99" spans="1:14" x14ac:dyDescent="0.35">
      <c r="A99" t="s">
        <v>219</v>
      </c>
      <c r="B99" t="s">
        <v>220</v>
      </c>
      <c r="C99" t="s">
        <v>17</v>
      </c>
      <c r="D99">
        <v>34</v>
      </c>
      <c r="E99" t="s">
        <v>18</v>
      </c>
      <c r="F99" t="s">
        <v>19</v>
      </c>
      <c r="G99" s="2">
        <v>181633</v>
      </c>
      <c r="H99" t="s">
        <v>14</v>
      </c>
      <c r="I99" s="1">
        <v>45099</v>
      </c>
      <c r="J99" t="str">
        <f t="shared" si="4"/>
        <v>Millennials</v>
      </c>
      <c r="K99" t="str" cm="1">
        <f t="array" ref="K99">_xlfn.IFS(G99&lt;=50000,"Low",G99&lt;=100000,"Medium",G99&lt;=150000,"High",G99&gt;=150001,"Premium")</f>
        <v>Premium</v>
      </c>
      <c r="L99" s="3">
        <f t="shared" ca="1" si="5"/>
        <v>2</v>
      </c>
      <c r="M99" t="str">
        <f t="shared" ca="1" si="6"/>
        <v>1-3yrs</v>
      </c>
      <c r="N99" s="3">
        <f t="shared" ca="1" si="7"/>
        <v>367</v>
      </c>
    </row>
    <row r="100" spans="1:14" x14ac:dyDescent="0.35">
      <c r="A100" t="s">
        <v>221</v>
      </c>
      <c r="B100" t="s">
        <v>222</v>
      </c>
      <c r="C100" t="s">
        <v>17</v>
      </c>
      <c r="D100">
        <v>73</v>
      </c>
      <c r="E100" t="s">
        <v>30</v>
      </c>
      <c r="F100" t="s">
        <v>37</v>
      </c>
      <c r="G100" s="2">
        <v>91719</v>
      </c>
      <c r="H100" t="s">
        <v>14</v>
      </c>
      <c r="I100" s="1">
        <v>44154</v>
      </c>
      <c r="J100" t="str">
        <f t="shared" si="4"/>
        <v>Boomers</v>
      </c>
      <c r="K100" t="str" cm="1">
        <f t="array" ref="K100">_xlfn.IFS(G100&lt;=50000,"Low",G100&lt;=100000,"Medium",G100&lt;=150000,"High",G100&gt;=150001,"Premium")</f>
        <v>Medium</v>
      </c>
      <c r="L100" s="3">
        <f t="shared" ca="1" si="5"/>
        <v>5</v>
      </c>
      <c r="M100" t="str">
        <f t="shared" ca="1" si="6"/>
        <v>5yrs +</v>
      </c>
      <c r="N100" s="3">
        <f t="shared" ca="1" si="7"/>
        <v>227</v>
      </c>
    </row>
    <row r="101" spans="1:14" x14ac:dyDescent="0.35">
      <c r="A101" t="s">
        <v>223</v>
      </c>
      <c r="B101" t="s">
        <v>224</v>
      </c>
      <c r="C101" t="s">
        <v>11</v>
      </c>
      <c r="D101">
        <v>36</v>
      </c>
      <c r="E101" t="s">
        <v>18</v>
      </c>
      <c r="F101" t="s">
        <v>37</v>
      </c>
      <c r="G101" s="2">
        <v>119616</v>
      </c>
      <c r="H101" t="s">
        <v>20</v>
      </c>
      <c r="I101" s="1">
        <v>44942</v>
      </c>
      <c r="J101" t="str">
        <f t="shared" si="4"/>
        <v>Millennials</v>
      </c>
      <c r="K101" t="str" cm="1">
        <f t="array" ref="K101">_xlfn.IFS(G101&lt;=50000,"Low",G101&lt;=100000,"Medium",G101&lt;=150000,"High",G101&gt;=150001,"Premium")</f>
        <v>High</v>
      </c>
      <c r="L101" s="3">
        <f t="shared" ca="1" si="5"/>
        <v>2</v>
      </c>
      <c r="M101" t="str">
        <f t="shared" ca="1" si="6"/>
        <v>1-3yrs</v>
      </c>
      <c r="N101" s="3">
        <f t="shared" ca="1" si="7"/>
        <v>367</v>
      </c>
    </row>
    <row r="102" spans="1:14" x14ac:dyDescent="0.35">
      <c r="A102" t="s">
        <v>225</v>
      </c>
      <c r="B102" t="s">
        <v>226</v>
      </c>
      <c r="C102" t="s">
        <v>11</v>
      </c>
      <c r="D102">
        <v>45</v>
      </c>
      <c r="E102" t="s">
        <v>18</v>
      </c>
      <c r="F102" t="s">
        <v>19</v>
      </c>
      <c r="G102" s="2">
        <v>144165</v>
      </c>
      <c r="H102" t="s">
        <v>14</v>
      </c>
      <c r="I102" s="1">
        <v>44018</v>
      </c>
      <c r="J102" t="str">
        <f t="shared" si="4"/>
        <v>Gen X</v>
      </c>
      <c r="K102" t="str" cm="1">
        <f t="array" ref="K102">_xlfn.IFS(G102&lt;=50000,"Low",G102&lt;=100000,"Medium",G102&lt;=150000,"High",G102&gt;=150001,"Premium")</f>
        <v>High</v>
      </c>
      <c r="L102" s="3">
        <f t="shared" ca="1" si="5"/>
        <v>5</v>
      </c>
      <c r="M102" t="str">
        <f t="shared" ca="1" si="6"/>
        <v>5yrs +</v>
      </c>
      <c r="N102" s="3">
        <f t="shared" ca="1" si="7"/>
        <v>227</v>
      </c>
    </row>
    <row r="103" spans="1:14" x14ac:dyDescent="0.35">
      <c r="A103" t="s">
        <v>227</v>
      </c>
      <c r="B103" t="s">
        <v>228</v>
      </c>
      <c r="C103" t="s">
        <v>17</v>
      </c>
      <c r="D103">
        <v>72</v>
      </c>
      <c r="E103" t="s">
        <v>34</v>
      </c>
      <c r="F103" t="s">
        <v>31</v>
      </c>
      <c r="G103" s="2">
        <v>106231</v>
      </c>
      <c r="H103" t="s">
        <v>14</v>
      </c>
      <c r="I103" s="1">
        <v>44560</v>
      </c>
      <c r="J103" t="str">
        <f t="shared" si="4"/>
        <v>Boomers</v>
      </c>
      <c r="K103" t="str" cm="1">
        <f t="array" ref="K103">_xlfn.IFS(G103&lt;=50000,"Low",G103&lt;=100000,"Medium",G103&lt;=150000,"High",G103&gt;=150001,"Premium")</f>
        <v>High</v>
      </c>
      <c r="L103" s="3">
        <f t="shared" ca="1" si="5"/>
        <v>3</v>
      </c>
      <c r="M103" t="str">
        <f t="shared" ca="1" si="6"/>
        <v>3-5yrs</v>
      </c>
      <c r="N103" s="3">
        <f t="shared" ca="1" si="7"/>
        <v>319</v>
      </c>
    </row>
    <row r="104" spans="1:14" x14ac:dyDescent="0.35">
      <c r="A104" t="s">
        <v>229</v>
      </c>
      <c r="B104" t="s">
        <v>230</v>
      </c>
      <c r="C104" t="s">
        <v>17</v>
      </c>
      <c r="D104">
        <v>43</v>
      </c>
      <c r="E104" t="s">
        <v>30</v>
      </c>
      <c r="F104" t="s">
        <v>31</v>
      </c>
      <c r="G104" s="2">
        <v>27314</v>
      </c>
      <c r="H104" t="s">
        <v>20</v>
      </c>
      <c r="I104" s="1">
        <v>44706</v>
      </c>
      <c r="J104" t="str">
        <f t="shared" si="4"/>
        <v>Millennials</v>
      </c>
      <c r="K104" t="str" cm="1">
        <f t="array" ref="K104">_xlfn.IFS(G104&lt;=50000,"Low",G104&lt;=100000,"Medium",G104&lt;=150000,"High",G104&gt;=150001,"Premium")</f>
        <v>Low</v>
      </c>
      <c r="L104" s="3">
        <f t="shared" ca="1" si="5"/>
        <v>3</v>
      </c>
      <c r="M104" t="str">
        <f t="shared" ca="1" si="6"/>
        <v>3-5yrs</v>
      </c>
      <c r="N104" s="3">
        <f t="shared" ca="1" si="7"/>
        <v>319</v>
      </c>
    </row>
    <row r="105" spans="1:14" x14ac:dyDescent="0.35">
      <c r="A105" t="s">
        <v>231</v>
      </c>
      <c r="B105" t="s">
        <v>232</v>
      </c>
      <c r="C105" t="s">
        <v>17</v>
      </c>
      <c r="D105">
        <v>54</v>
      </c>
      <c r="E105" t="s">
        <v>30</v>
      </c>
      <c r="F105" t="s">
        <v>19</v>
      </c>
      <c r="G105" s="2">
        <v>39623</v>
      </c>
      <c r="H105" t="s">
        <v>14</v>
      </c>
      <c r="I105" s="1">
        <v>42645</v>
      </c>
      <c r="J105" t="str">
        <f t="shared" si="4"/>
        <v>Gen X</v>
      </c>
      <c r="K105" t="str" cm="1">
        <f t="array" ref="K105">_xlfn.IFS(G105&lt;=50000,"Low",G105&lt;=100000,"Medium",G105&lt;=150000,"High",G105&gt;=150001,"Premium")</f>
        <v>Low</v>
      </c>
      <c r="L105" s="3">
        <f t="shared" ca="1" si="5"/>
        <v>9</v>
      </c>
      <c r="M105" t="str">
        <f t="shared" ca="1" si="6"/>
        <v>5yrs +</v>
      </c>
      <c r="N105" s="3">
        <f t="shared" ca="1" si="7"/>
        <v>17</v>
      </c>
    </row>
    <row r="106" spans="1:14" x14ac:dyDescent="0.35">
      <c r="A106" t="s">
        <v>233</v>
      </c>
      <c r="B106" t="s">
        <v>234</v>
      </c>
      <c r="C106" t="s">
        <v>17</v>
      </c>
      <c r="D106">
        <v>43</v>
      </c>
      <c r="E106" t="s">
        <v>30</v>
      </c>
      <c r="F106" t="s">
        <v>42</v>
      </c>
      <c r="G106" s="2">
        <v>125228</v>
      </c>
      <c r="H106" t="s">
        <v>14</v>
      </c>
      <c r="I106" s="1">
        <v>45748</v>
      </c>
      <c r="J106" t="str">
        <f t="shared" si="4"/>
        <v>Millennials</v>
      </c>
      <c r="K106" t="str" cm="1">
        <f t="array" ref="K106">_xlfn.IFS(G106&lt;=50000,"Low",G106&lt;=100000,"Medium",G106&lt;=150000,"High",G106&gt;=150001,"Premium")</f>
        <v>High</v>
      </c>
      <c r="L106" s="3">
        <f t="shared" ca="1" si="5"/>
        <v>0</v>
      </c>
      <c r="M106" t="str">
        <f t="shared" ca="1" si="6"/>
        <v>0-1yr</v>
      </c>
      <c r="N106" s="3">
        <f t="shared" ca="1" si="7"/>
        <v>475</v>
      </c>
    </row>
    <row r="107" spans="1:14" x14ac:dyDescent="0.35">
      <c r="A107" t="s">
        <v>235</v>
      </c>
      <c r="B107" t="s">
        <v>236</v>
      </c>
      <c r="C107" t="s">
        <v>17</v>
      </c>
      <c r="D107">
        <v>70</v>
      </c>
      <c r="E107" t="s">
        <v>30</v>
      </c>
      <c r="F107" t="s">
        <v>27</v>
      </c>
      <c r="G107" s="2">
        <v>184202</v>
      </c>
      <c r="H107" t="s">
        <v>14</v>
      </c>
      <c r="I107" s="1">
        <v>42940</v>
      </c>
      <c r="J107" t="str">
        <f t="shared" si="4"/>
        <v>Boomers</v>
      </c>
      <c r="K107" t="str" cm="1">
        <f t="array" ref="K107">_xlfn.IFS(G107&lt;=50000,"Low",G107&lt;=100000,"Medium",G107&lt;=150000,"High",G107&gt;=150001,"Premium")</f>
        <v>Premium</v>
      </c>
      <c r="L107" s="3">
        <f t="shared" ca="1" si="5"/>
        <v>8</v>
      </c>
      <c r="M107" t="str">
        <f t="shared" ca="1" si="6"/>
        <v>5yrs +</v>
      </c>
      <c r="N107" s="3">
        <f t="shared" ca="1" si="7"/>
        <v>59</v>
      </c>
    </row>
    <row r="108" spans="1:14" x14ac:dyDescent="0.35">
      <c r="A108" t="s">
        <v>237</v>
      </c>
      <c r="B108" t="s">
        <v>238</v>
      </c>
      <c r="C108" t="s">
        <v>17</v>
      </c>
      <c r="D108">
        <v>40</v>
      </c>
      <c r="E108" t="s">
        <v>30</v>
      </c>
      <c r="F108" t="s">
        <v>37</v>
      </c>
      <c r="G108" s="2">
        <v>117624</v>
      </c>
      <c r="H108" t="s">
        <v>24</v>
      </c>
      <c r="I108" s="1">
        <v>45720</v>
      </c>
      <c r="J108" t="str">
        <f t="shared" si="4"/>
        <v>Millennials</v>
      </c>
      <c r="K108" t="str" cm="1">
        <f t="array" ref="K108">_xlfn.IFS(G108&lt;=50000,"Low",G108&lt;=100000,"Medium",G108&lt;=150000,"High",G108&gt;=150001,"Premium")</f>
        <v>High</v>
      </c>
      <c r="L108" s="3">
        <f t="shared" ca="1" si="5"/>
        <v>0</v>
      </c>
      <c r="M108" t="str">
        <f t="shared" ca="1" si="6"/>
        <v>0-1yr</v>
      </c>
      <c r="N108" s="3">
        <f t="shared" ca="1" si="7"/>
        <v>475</v>
      </c>
    </row>
    <row r="109" spans="1:14" x14ac:dyDescent="0.35">
      <c r="A109" t="s">
        <v>239</v>
      </c>
      <c r="B109" t="s">
        <v>240</v>
      </c>
      <c r="C109" t="s">
        <v>17</v>
      </c>
      <c r="D109">
        <v>26</v>
      </c>
      <c r="E109" t="s">
        <v>30</v>
      </c>
      <c r="F109" t="s">
        <v>42</v>
      </c>
      <c r="G109" s="2">
        <v>177364</v>
      </c>
      <c r="H109" t="s">
        <v>14</v>
      </c>
      <c r="I109" s="1">
        <v>44224</v>
      </c>
      <c r="J109" t="str">
        <f t="shared" si="4"/>
        <v>Gen Z</v>
      </c>
      <c r="K109" t="str" cm="1">
        <f t="array" ref="K109">_xlfn.IFS(G109&lt;=50000,"Low",G109&lt;=100000,"Medium",G109&lt;=150000,"High",G109&gt;=150001,"Premium")</f>
        <v>Premium</v>
      </c>
      <c r="L109" s="3">
        <f t="shared" ca="1" si="5"/>
        <v>4</v>
      </c>
      <c r="M109" t="str">
        <f t="shared" ca="1" si="6"/>
        <v>3-5yrs</v>
      </c>
      <c r="N109" s="3">
        <f t="shared" ca="1" si="7"/>
        <v>273</v>
      </c>
    </row>
    <row r="110" spans="1:14" x14ac:dyDescent="0.35">
      <c r="A110" t="s">
        <v>241</v>
      </c>
      <c r="B110" t="s">
        <v>242</v>
      </c>
      <c r="C110" t="s">
        <v>17</v>
      </c>
      <c r="D110">
        <v>29</v>
      </c>
      <c r="E110" t="s">
        <v>12</v>
      </c>
      <c r="F110" t="s">
        <v>37</v>
      </c>
      <c r="G110" s="2">
        <v>131785</v>
      </c>
      <c r="H110" t="s">
        <v>20</v>
      </c>
      <c r="I110" s="1">
        <v>44077</v>
      </c>
      <c r="J110" t="str">
        <f t="shared" si="4"/>
        <v>Millennials</v>
      </c>
      <c r="K110" t="str" cm="1">
        <f t="array" ref="K110">_xlfn.IFS(G110&lt;=50000,"Low",G110&lt;=100000,"Medium",G110&lt;=150000,"High",G110&gt;=150001,"Premium")</f>
        <v>High</v>
      </c>
      <c r="L110" s="3">
        <f t="shared" ca="1" si="5"/>
        <v>5</v>
      </c>
      <c r="M110" t="str">
        <f t="shared" ca="1" si="6"/>
        <v>5yrs +</v>
      </c>
      <c r="N110" s="3">
        <f t="shared" ca="1" si="7"/>
        <v>227</v>
      </c>
    </row>
    <row r="111" spans="1:14" x14ac:dyDescent="0.35">
      <c r="A111" t="s">
        <v>243</v>
      </c>
      <c r="B111" t="s">
        <v>244</v>
      </c>
      <c r="C111" t="s">
        <v>11</v>
      </c>
      <c r="D111">
        <v>70</v>
      </c>
      <c r="E111" t="s">
        <v>18</v>
      </c>
      <c r="F111" t="s">
        <v>27</v>
      </c>
      <c r="G111" s="2">
        <v>106206</v>
      </c>
      <c r="H111" t="s">
        <v>14</v>
      </c>
      <c r="I111" s="1">
        <v>43256</v>
      </c>
      <c r="J111" t="str">
        <f t="shared" si="4"/>
        <v>Boomers</v>
      </c>
      <c r="K111" t="str" cm="1">
        <f t="array" ref="K111">_xlfn.IFS(G111&lt;=50000,"Low",G111&lt;=100000,"Medium",G111&lt;=150000,"High",G111&gt;=150001,"Premium")</f>
        <v>High</v>
      </c>
      <c r="L111" s="3">
        <f t="shared" ca="1" si="5"/>
        <v>7</v>
      </c>
      <c r="M111" t="str">
        <f t="shared" ca="1" si="6"/>
        <v>5yrs +</v>
      </c>
      <c r="N111" s="3">
        <f t="shared" ca="1" si="7"/>
        <v>118</v>
      </c>
    </row>
    <row r="112" spans="1:14" x14ac:dyDescent="0.35">
      <c r="A112" t="s">
        <v>245</v>
      </c>
      <c r="B112" t="s">
        <v>246</v>
      </c>
      <c r="C112" t="s">
        <v>17</v>
      </c>
      <c r="D112">
        <v>18</v>
      </c>
      <c r="E112" t="s">
        <v>30</v>
      </c>
      <c r="F112" t="s">
        <v>31</v>
      </c>
      <c r="G112" s="2">
        <v>89274</v>
      </c>
      <c r="H112" t="s">
        <v>14</v>
      </c>
      <c r="I112" s="1">
        <v>43657</v>
      </c>
      <c r="J112" t="str">
        <f t="shared" si="4"/>
        <v>Gen Z</v>
      </c>
      <c r="K112" t="str" cm="1">
        <f t="array" ref="K112">_xlfn.IFS(G112&lt;=50000,"Low",G112&lt;=100000,"Medium",G112&lt;=150000,"High",G112&gt;=150001,"Premium")</f>
        <v>Medium</v>
      </c>
      <c r="L112" s="3">
        <f t="shared" ca="1" si="5"/>
        <v>6</v>
      </c>
      <c r="M112" t="str">
        <f t="shared" ca="1" si="6"/>
        <v>5yrs +</v>
      </c>
      <c r="N112" s="3">
        <f t="shared" ca="1" si="7"/>
        <v>169</v>
      </c>
    </row>
    <row r="113" spans="1:14" x14ac:dyDescent="0.35">
      <c r="A113" t="s">
        <v>247</v>
      </c>
      <c r="B113" t="s">
        <v>248</v>
      </c>
      <c r="C113" t="s">
        <v>11</v>
      </c>
      <c r="D113">
        <v>18</v>
      </c>
      <c r="E113" t="s">
        <v>18</v>
      </c>
      <c r="F113" t="s">
        <v>42</v>
      </c>
      <c r="G113" s="2">
        <v>153541</v>
      </c>
      <c r="H113" t="s">
        <v>20</v>
      </c>
      <c r="I113" s="1">
        <v>43931</v>
      </c>
      <c r="J113" t="str">
        <f t="shared" si="4"/>
        <v>Gen Z</v>
      </c>
      <c r="K113" t="str" cm="1">
        <f t="array" ref="K113">_xlfn.IFS(G113&lt;=50000,"Low",G113&lt;=100000,"Medium",G113&lt;=150000,"High",G113&gt;=150001,"Premium")</f>
        <v>Premium</v>
      </c>
      <c r="L113" s="3">
        <f t="shared" ca="1" si="5"/>
        <v>5</v>
      </c>
      <c r="M113" t="str">
        <f t="shared" ca="1" si="6"/>
        <v>5yrs +</v>
      </c>
      <c r="N113" s="3">
        <f t="shared" ca="1" si="7"/>
        <v>227</v>
      </c>
    </row>
    <row r="114" spans="1:14" x14ac:dyDescent="0.35">
      <c r="A114" t="s">
        <v>249</v>
      </c>
      <c r="B114" t="s">
        <v>250</v>
      </c>
      <c r="C114" t="s">
        <v>17</v>
      </c>
      <c r="D114">
        <v>64</v>
      </c>
      <c r="E114" t="s">
        <v>18</v>
      </c>
      <c r="F114" t="s">
        <v>13</v>
      </c>
      <c r="G114" s="2">
        <v>73947</v>
      </c>
      <c r="H114" t="s">
        <v>24</v>
      </c>
      <c r="I114" s="1">
        <v>42445</v>
      </c>
      <c r="J114" t="str">
        <f t="shared" si="4"/>
        <v>Boomers</v>
      </c>
      <c r="K114" t="str" cm="1">
        <f t="array" ref="K114">_xlfn.IFS(G114&lt;=50000,"Low",G114&lt;=100000,"Medium",G114&lt;=150000,"High",G114&gt;=150001,"Premium")</f>
        <v>Medium</v>
      </c>
      <c r="L114" s="3">
        <f t="shared" ca="1" si="5"/>
        <v>9</v>
      </c>
      <c r="M114" t="str">
        <f t="shared" ca="1" si="6"/>
        <v>5yrs +</v>
      </c>
      <c r="N114" s="3">
        <f t="shared" ca="1" si="7"/>
        <v>17</v>
      </c>
    </row>
    <row r="115" spans="1:14" x14ac:dyDescent="0.35">
      <c r="A115" t="s">
        <v>251</v>
      </c>
      <c r="B115" t="s">
        <v>252</v>
      </c>
      <c r="C115" t="s">
        <v>17</v>
      </c>
      <c r="D115">
        <v>51</v>
      </c>
      <c r="E115" t="s">
        <v>12</v>
      </c>
      <c r="F115" t="s">
        <v>13</v>
      </c>
      <c r="G115" s="2">
        <v>173606</v>
      </c>
      <c r="H115" t="s">
        <v>20</v>
      </c>
      <c r="I115" s="1">
        <v>43658</v>
      </c>
      <c r="J115" t="str">
        <f t="shared" si="4"/>
        <v>Gen X</v>
      </c>
      <c r="K115" t="str" cm="1">
        <f t="array" ref="K115">_xlfn.IFS(G115&lt;=50000,"Low",G115&lt;=100000,"Medium",G115&lt;=150000,"High",G115&gt;=150001,"Premium")</f>
        <v>Premium</v>
      </c>
      <c r="L115" s="3">
        <f t="shared" ca="1" si="5"/>
        <v>6</v>
      </c>
      <c r="M115" t="str">
        <f t="shared" ca="1" si="6"/>
        <v>5yrs +</v>
      </c>
      <c r="N115" s="3">
        <f t="shared" ca="1" si="7"/>
        <v>169</v>
      </c>
    </row>
    <row r="116" spans="1:14" x14ac:dyDescent="0.35">
      <c r="A116" t="s">
        <v>253</v>
      </c>
      <c r="B116" t="s">
        <v>254</v>
      </c>
      <c r="C116" t="s">
        <v>11</v>
      </c>
      <c r="D116">
        <v>49</v>
      </c>
      <c r="E116" t="s">
        <v>30</v>
      </c>
      <c r="F116" t="s">
        <v>13</v>
      </c>
      <c r="G116" s="2">
        <v>68874</v>
      </c>
      <c r="H116" t="s">
        <v>20</v>
      </c>
      <c r="I116" s="1">
        <v>45532</v>
      </c>
      <c r="J116" t="str">
        <f t="shared" si="4"/>
        <v>Gen X</v>
      </c>
      <c r="K116" t="str" cm="1">
        <f t="array" ref="K116">_xlfn.IFS(G116&lt;=50000,"Low",G116&lt;=100000,"Medium",G116&lt;=150000,"High",G116&gt;=150001,"Premium")</f>
        <v>Medium</v>
      </c>
      <c r="L116" s="3">
        <f t="shared" ca="1" si="5"/>
        <v>1</v>
      </c>
      <c r="M116" t="str">
        <f t="shared" ca="1" si="6"/>
        <v>1-3yrs</v>
      </c>
      <c r="N116" s="3">
        <f t="shared" ca="1" si="7"/>
        <v>422</v>
      </c>
    </row>
    <row r="117" spans="1:14" x14ac:dyDescent="0.35">
      <c r="A117" t="s">
        <v>255</v>
      </c>
      <c r="B117" t="s">
        <v>256</v>
      </c>
      <c r="C117" t="s">
        <v>17</v>
      </c>
      <c r="D117">
        <v>71</v>
      </c>
      <c r="E117" t="s">
        <v>34</v>
      </c>
      <c r="F117" t="s">
        <v>31</v>
      </c>
      <c r="G117" s="2">
        <v>69708</v>
      </c>
      <c r="H117" t="s">
        <v>20</v>
      </c>
      <c r="I117" s="1">
        <v>45797</v>
      </c>
      <c r="J117" t="str">
        <f t="shared" si="4"/>
        <v>Boomers</v>
      </c>
      <c r="K117" t="str" cm="1">
        <f t="array" ref="K117">_xlfn.IFS(G117&lt;=50000,"Low",G117&lt;=100000,"Medium",G117&lt;=150000,"High",G117&gt;=150001,"Premium")</f>
        <v>Medium</v>
      </c>
      <c r="L117" s="3">
        <f t="shared" ca="1" si="5"/>
        <v>0</v>
      </c>
      <c r="M117" t="str">
        <f t="shared" ca="1" si="6"/>
        <v>0-1yr</v>
      </c>
      <c r="N117" s="3">
        <f t="shared" ca="1" si="7"/>
        <v>475</v>
      </c>
    </row>
    <row r="118" spans="1:14" x14ac:dyDescent="0.35">
      <c r="A118" t="s">
        <v>257</v>
      </c>
      <c r="B118" t="s">
        <v>258</v>
      </c>
      <c r="C118" t="s">
        <v>11</v>
      </c>
      <c r="D118">
        <v>65</v>
      </c>
      <c r="E118" t="s">
        <v>12</v>
      </c>
      <c r="F118" t="s">
        <v>31</v>
      </c>
      <c r="G118" s="2">
        <v>94553</v>
      </c>
      <c r="H118" t="s">
        <v>14</v>
      </c>
      <c r="I118" s="1">
        <v>45706</v>
      </c>
      <c r="J118" t="str">
        <f t="shared" si="4"/>
        <v>Boomers</v>
      </c>
      <c r="K118" t="str" cm="1">
        <f t="array" ref="K118">_xlfn.IFS(G118&lt;=50000,"Low",G118&lt;=100000,"Medium",G118&lt;=150000,"High",G118&gt;=150001,"Premium")</f>
        <v>Medium</v>
      </c>
      <c r="L118" s="3">
        <f t="shared" ca="1" si="5"/>
        <v>0</v>
      </c>
      <c r="M118" t="str">
        <f t="shared" ca="1" si="6"/>
        <v>0-1yr</v>
      </c>
      <c r="N118" s="3">
        <f t="shared" ca="1" si="7"/>
        <v>475</v>
      </c>
    </row>
    <row r="119" spans="1:14" x14ac:dyDescent="0.35">
      <c r="A119" t="s">
        <v>259</v>
      </c>
      <c r="B119" t="s">
        <v>260</v>
      </c>
      <c r="C119" t="s">
        <v>17</v>
      </c>
      <c r="D119">
        <v>42</v>
      </c>
      <c r="E119" t="s">
        <v>34</v>
      </c>
      <c r="F119" t="s">
        <v>27</v>
      </c>
      <c r="G119" s="2">
        <v>88344</v>
      </c>
      <c r="H119" t="s">
        <v>14</v>
      </c>
      <c r="I119" s="1">
        <v>45720</v>
      </c>
      <c r="J119" t="str">
        <f t="shared" si="4"/>
        <v>Millennials</v>
      </c>
      <c r="K119" t="str" cm="1">
        <f t="array" ref="K119">_xlfn.IFS(G119&lt;=50000,"Low",G119&lt;=100000,"Medium",G119&lt;=150000,"High",G119&gt;=150001,"Premium")</f>
        <v>Medium</v>
      </c>
      <c r="L119" s="3">
        <f t="shared" ca="1" si="5"/>
        <v>0</v>
      </c>
      <c r="M119" t="str">
        <f t="shared" ca="1" si="6"/>
        <v>0-1yr</v>
      </c>
      <c r="N119" s="3">
        <f t="shared" ca="1" si="7"/>
        <v>475</v>
      </c>
    </row>
    <row r="120" spans="1:14" x14ac:dyDescent="0.35">
      <c r="A120" t="s">
        <v>261</v>
      </c>
      <c r="B120" t="s">
        <v>262</v>
      </c>
      <c r="C120" t="s">
        <v>17</v>
      </c>
      <c r="D120">
        <v>57</v>
      </c>
      <c r="E120" t="s">
        <v>18</v>
      </c>
      <c r="F120" t="s">
        <v>37</v>
      </c>
      <c r="G120" s="2">
        <v>69138</v>
      </c>
      <c r="H120" t="s">
        <v>20</v>
      </c>
      <c r="I120" s="1">
        <v>43821</v>
      </c>
      <c r="J120" t="str">
        <f t="shared" si="4"/>
        <v>Gen X</v>
      </c>
      <c r="K120" t="str" cm="1">
        <f t="array" ref="K120">_xlfn.IFS(G120&lt;=50000,"Low",G120&lt;=100000,"Medium",G120&lt;=150000,"High",G120&gt;=150001,"Premium")</f>
        <v>Medium</v>
      </c>
      <c r="L120" s="3">
        <f t="shared" ca="1" si="5"/>
        <v>5</v>
      </c>
      <c r="M120" t="str">
        <f t="shared" ca="1" si="6"/>
        <v>5yrs +</v>
      </c>
      <c r="N120" s="3">
        <f t="shared" ca="1" si="7"/>
        <v>227</v>
      </c>
    </row>
    <row r="121" spans="1:14" x14ac:dyDescent="0.35">
      <c r="A121" t="s">
        <v>263</v>
      </c>
      <c r="B121" t="s">
        <v>264</v>
      </c>
      <c r="C121" t="s">
        <v>11</v>
      </c>
      <c r="D121">
        <v>62</v>
      </c>
      <c r="E121" t="s">
        <v>18</v>
      </c>
      <c r="F121" t="s">
        <v>27</v>
      </c>
      <c r="G121" s="2">
        <v>67638</v>
      </c>
      <c r="H121" t="s">
        <v>14</v>
      </c>
      <c r="I121" s="1">
        <v>43555</v>
      </c>
      <c r="J121" t="str">
        <f t="shared" si="4"/>
        <v>Boomers</v>
      </c>
      <c r="K121" t="str" cm="1">
        <f t="array" ref="K121">_xlfn.IFS(G121&lt;=50000,"Low",G121&lt;=100000,"Medium",G121&lt;=150000,"High",G121&gt;=150001,"Premium")</f>
        <v>Medium</v>
      </c>
      <c r="L121" s="3">
        <f t="shared" ca="1" si="5"/>
        <v>6</v>
      </c>
      <c r="M121" t="str">
        <f t="shared" ca="1" si="6"/>
        <v>5yrs +</v>
      </c>
      <c r="N121" s="3">
        <f t="shared" ca="1" si="7"/>
        <v>169</v>
      </c>
    </row>
    <row r="122" spans="1:14" x14ac:dyDescent="0.35">
      <c r="A122" t="s">
        <v>265</v>
      </c>
      <c r="B122" t="s">
        <v>266</v>
      </c>
      <c r="C122" t="s">
        <v>17</v>
      </c>
      <c r="D122">
        <v>70</v>
      </c>
      <c r="E122" t="s">
        <v>12</v>
      </c>
      <c r="F122" t="s">
        <v>27</v>
      </c>
      <c r="G122" s="2">
        <v>98249</v>
      </c>
      <c r="H122" t="s">
        <v>20</v>
      </c>
      <c r="I122" s="1">
        <v>45094</v>
      </c>
      <c r="J122" t="str">
        <f t="shared" si="4"/>
        <v>Boomers</v>
      </c>
      <c r="K122" t="str" cm="1">
        <f t="array" ref="K122">_xlfn.IFS(G122&lt;=50000,"Low",G122&lt;=100000,"Medium",G122&lt;=150000,"High",G122&gt;=150001,"Premium")</f>
        <v>Medium</v>
      </c>
      <c r="L122" s="3">
        <f t="shared" ca="1" si="5"/>
        <v>2</v>
      </c>
      <c r="M122" t="str">
        <f t="shared" ca="1" si="6"/>
        <v>1-3yrs</v>
      </c>
      <c r="N122" s="3">
        <f t="shared" ca="1" si="7"/>
        <v>367</v>
      </c>
    </row>
    <row r="123" spans="1:14" x14ac:dyDescent="0.35">
      <c r="A123" t="s">
        <v>267</v>
      </c>
      <c r="B123" t="s">
        <v>268</v>
      </c>
      <c r="C123" t="s">
        <v>11</v>
      </c>
      <c r="D123">
        <v>18</v>
      </c>
      <c r="E123" t="s">
        <v>12</v>
      </c>
      <c r="F123" t="s">
        <v>31</v>
      </c>
      <c r="G123" s="2">
        <v>125865</v>
      </c>
      <c r="H123" t="s">
        <v>24</v>
      </c>
      <c r="I123" s="1">
        <v>42270</v>
      </c>
      <c r="J123" t="str">
        <f t="shared" si="4"/>
        <v>Gen Z</v>
      </c>
      <c r="K123" t="str" cm="1">
        <f t="array" ref="K123">_xlfn.IFS(G123&lt;=50000,"Low",G123&lt;=100000,"Medium",G123&lt;=150000,"High",G123&gt;=150001,"Premium")</f>
        <v>High</v>
      </c>
      <c r="L123" s="3">
        <f t="shared" ca="1" si="5"/>
        <v>10</v>
      </c>
      <c r="M123" t="str">
        <f t="shared" ca="1" si="6"/>
        <v>5yrs +</v>
      </c>
      <c r="N123" s="3">
        <f t="shared" ca="1" si="7"/>
        <v>1</v>
      </c>
    </row>
    <row r="124" spans="1:14" x14ac:dyDescent="0.35">
      <c r="A124" t="s">
        <v>269</v>
      </c>
      <c r="B124" t="s">
        <v>270</v>
      </c>
      <c r="C124" t="s">
        <v>17</v>
      </c>
      <c r="D124">
        <v>33</v>
      </c>
      <c r="E124" t="s">
        <v>34</v>
      </c>
      <c r="F124" t="s">
        <v>13</v>
      </c>
      <c r="G124" s="2">
        <v>22719</v>
      </c>
      <c r="H124" t="s">
        <v>14</v>
      </c>
      <c r="I124" s="1">
        <v>42921</v>
      </c>
      <c r="J124" t="str">
        <f t="shared" si="4"/>
        <v>Millennials</v>
      </c>
      <c r="K124" t="str" cm="1">
        <f t="array" ref="K124">_xlfn.IFS(G124&lt;=50000,"Low",G124&lt;=100000,"Medium",G124&lt;=150000,"High",G124&gt;=150001,"Premium")</f>
        <v>Low</v>
      </c>
      <c r="L124" s="3">
        <f t="shared" ca="1" si="5"/>
        <v>8</v>
      </c>
      <c r="M124" t="str">
        <f t="shared" ca="1" si="6"/>
        <v>5yrs +</v>
      </c>
      <c r="N124" s="3">
        <f t="shared" ca="1" si="7"/>
        <v>59</v>
      </c>
    </row>
    <row r="125" spans="1:14" x14ac:dyDescent="0.35">
      <c r="A125" t="s">
        <v>271</v>
      </c>
      <c r="B125" t="s">
        <v>272</v>
      </c>
      <c r="C125" t="s">
        <v>11</v>
      </c>
      <c r="D125">
        <v>56</v>
      </c>
      <c r="E125" t="s">
        <v>30</v>
      </c>
      <c r="F125" t="s">
        <v>23</v>
      </c>
      <c r="G125" s="2">
        <v>173962</v>
      </c>
      <c r="H125" t="s">
        <v>14</v>
      </c>
      <c r="I125" s="1">
        <v>44752</v>
      </c>
      <c r="J125" t="str">
        <f t="shared" si="4"/>
        <v>Gen X</v>
      </c>
      <c r="K125" t="str" cm="1">
        <f t="array" ref="K125">_xlfn.IFS(G125&lt;=50000,"Low",G125&lt;=100000,"Medium",G125&lt;=150000,"High",G125&gt;=150001,"Premium")</f>
        <v>Premium</v>
      </c>
      <c r="L125" s="3">
        <f t="shared" ca="1" si="5"/>
        <v>3</v>
      </c>
      <c r="M125" t="str">
        <f t="shared" ca="1" si="6"/>
        <v>3-5yrs</v>
      </c>
      <c r="N125" s="3">
        <f t="shared" ca="1" si="7"/>
        <v>319</v>
      </c>
    </row>
    <row r="126" spans="1:14" x14ac:dyDescent="0.35">
      <c r="A126" t="s">
        <v>273</v>
      </c>
      <c r="B126" t="s">
        <v>274</v>
      </c>
      <c r="C126" t="s">
        <v>11</v>
      </c>
      <c r="D126">
        <v>22</v>
      </c>
      <c r="E126" t="s">
        <v>34</v>
      </c>
      <c r="F126" t="s">
        <v>37</v>
      </c>
      <c r="G126" s="2">
        <v>187581</v>
      </c>
      <c r="H126" t="s">
        <v>20</v>
      </c>
      <c r="I126" s="1">
        <v>42754</v>
      </c>
      <c r="J126" t="str">
        <f t="shared" si="4"/>
        <v>Gen Z</v>
      </c>
      <c r="K126" t="str" cm="1">
        <f t="array" ref="K126">_xlfn.IFS(G126&lt;=50000,"Low",G126&lt;=100000,"Medium",G126&lt;=150000,"High",G126&gt;=150001,"Premium")</f>
        <v>Premium</v>
      </c>
      <c r="L126" s="3">
        <f t="shared" ca="1" si="5"/>
        <v>8</v>
      </c>
      <c r="M126" t="str">
        <f t="shared" ca="1" si="6"/>
        <v>5yrs +</v>
      </c>
      <c r="N126" s="3">
        <f t="shared" ca="1" si="7"/>
        <v>59</v>
      </c>
    </row>
    <row r="127" spans="1:14" x14ac:dyDescent="0.35">
      <c r="A127" t="s">
        <v>275</v>
      </c>
      <c r="B127" t="s">
        <v>276</v>
      </c>
      <c r="C127" t="s">
        <v>17</v>
      </c>
      <c r="D127">
        <v>39</v>
      </c>
      <c r="E127" t="s">
        <v>12</v>
      </c>
      <c r="F127" t="s">
        <v>31</v>
      </c>
      <c r="G127" s="2">
        <v>62534</v>
      </c>
      <c r="H127" t="s">
        <v>14</v>
      </c>
      <c r="I127" s="1">
        <v>43891</v>
      </c>
      <c r="J127" t="str">
        <f t="shared" si="4"/>
        <v>Millennials</v>
      </c>
      <c r="K127" t="str" cm="1">
        <f t="array" ref="K127">_xlfn.IFS(G127&lt;=50000,"Low",G127&lt;=100000,"Medium",G127&lt;=150000,"High",G127&gt;=150001,"Premium")</f>
        <v>Medium</v>
      </c>
      <c r="L127" s="3">
        <f t="shared" ca="1" si="5"/>
        <v>5</v>
      </c>
      <c r="M127" t="str">
        <f t="shared" ca="1" si="6"/>
        <v>5yrs +</v>
      </c>
      <c r="N127" s="3">
        <f t="shared" ca="1" si="7"/>
        <v>227</v>
      </c>
    </row>
    <row r="128" spans="1:14" x14ac:dyDescent="0.35">
      <c r="A128" t="s">
        <v>277</v>
      </c>
      <c r="B128" t="s">
        <v>278</v>
      </c>
      <c r="C128" t="s">
        <v>17</v>
      </c>
      <c r="D128">
        <v>46</v>
      </c>
      <c r="E128" t="s">
        <v>34</v>
      </c>
      <c r="F128" t="s">
        <v>13</v>
      </c>
      <c r="G128" s="2">
        <v>112241</v>
      </c>
      <c r="H128" t="s">
        <v>20</v>
      </c>
      <c r="I128" s="1">
        <v>42374</v>
      </c>
      <c r="J128" t="str">
        <f t="shared" si="4"/>
        <v>Gen X</v>
      </c>
      <c r="K128" t="str" cm="1">
        <f t="array" ref="K128">_xlfn.IFS(G128&lt;=50000,"Low",G128&lt;=100000,"Medium",G128&lt;=150000,"High",G128&gt;=150001,"Premium")</f>
        <v>High</v>
      </c>
      <c r="L128" s="3">
        <f t="shared" ca="1" si="5"/>
        <v>9</v>
      </c>
      <c r="M128" t="str">
        <f t="shared" ca="1" si="6"/>
        <v>5yrs +</v>
      </c>
      <c r="N128" s="3">
        <f t="shared" ca="1" si="7"/>
        <v>17</v>
      </c>
    </row>
    <row r="129" spans="1:14" x14ac:dyDescent="0.35">
      <c r="A129" t="s">
        <v>279</v>
      </c>
      <c r="B129" t="s">
        <v>280</v>
      </c>
      <c r="C129" t="s">
        <v>11</v>
      </c>
      <c r="D129">
        <v>72</v>
      </c>
      <c r="E129" t="s">
        <v>12</v>
      </c>
      <c r="F129" t="s">
        <v>42</v>
      </c>
      <c r="G129" s="2">
        <v>169859</v>
      </c>
      <c r="H129" t="s">
        <v>14</v>
      </c>
      <c r="I129" s="1">
        <v>45039</v>
      </c>
      <c r="J129" t="str">
        <f t="shared" si="4"/>
        <v>Boomers</v>
      </c>
      <c r="K129" t="str" cm="1">
        <f t="array" ref="K129">_xlfn.IFS(G129&lt;=50000,"Low",G129&lt;=100000,"Medium",G129&lt;=150000,"High",G129&gt;=150001,"Premium")</f>
        <v>Premium</v>
      </c>
      <c r="L129" s="3">
        <f t="shared" ca="1" si="5"/>
        <v>2</v>
      </c>
      <c r="M129" t="str">
        <f t="shared" ca="1" si="6"/>
        <v>1-3yrs</v>
      </c>
      <c r="N129" s="3">
        <f t="shared" ca="1" si="7"/>
        <v>367</v>
      </c>
    </row>
    <row r="130" spans="1:14" x14ac:dyDescent="0.35">
      <c r="A130" t="s">
        <v>281</v>
      </c>
      <c r="B130" t="s">
        <v>282</v>
      </c>
      <c r="C130" t="s">
        <v>17</v>
      </c>
      <c r="D130">
        <v>20</v>
      </c>
      <c r="E130" t="s">
        <v>34</v>
      </c>
      <c r="F130" t="s">
        <v>23</v>
      </c>
      <c r="G130" s="2">
        <v>146209</v>
      </c>
      <c r="H130" t="s">
        <v>20</v>
      </c>
      <c r="I130" s="1">
        <v>43517</v>
      </c>
      <c r="J130" t="str">
        <f t="shared" ref="J130:J193" si="8">IF(D130&lt;=28, "Gen Z",IF(D130&lt;=44,"Millennials",IF(D130&lt;=60, "Gen X","Boomers")))</f>
        <v>Gen Z</v>
      </c>
      <c r="K130" t="str" cm="1">
        <f t="array" ref="K130">_xlfn.IFS(G130&lt;=50000,"Low",G130&lt;=100000,"Medium",G130&lt;=150000,"High",G130&gt;=150001,"Premium")</f>
        <v>High</v>
      </c>
      <c r="L130" s="3">
        <f t="shared" ref="L130:L193" ca="1" si="9">YEAR(TODAY())-YEAR(I130)-(DATE(YEAR(TODAY()),MONTH(I130),DAY(I130))&gt;TODAY())</f>
        <v>6</v>
      </c>
      <c r="M130" t="str">
        <f t="shared" ref="M130:M193" ca="1" si="10">IF(L130&lt;1,"0-1yr",IF(L130&lt;3,"1-3yrs",IF(L130&lt;5,"3-5yrs","5yrs +")))</f>
        <v>5yrs +</v>
      </c>
      <c r="N130" s="3">
        <f t="shared" ref="N130:N193" ca="1" si="11">COUNTIFS($L$2:$L$501,"&gt;"&amp;L130)+1</f>
        <v>169</v>
      </c>
    </row>
    <row r="131" spans="1:14" x14ac:dyDescent="0.35">
      <c r="A131" t="s">
        <v>283</v>
      </c>
      <c r="B131" t="s">
        <v>284</v>
      </c>
      <c r="C131" t="s">
        <v>17</v>
      </c>
      <c r="D131">
        <v>29</v>
      </c>
      <c r="E131" t="s">
        <v>12</v>
      </c>
      <c r="F131" t="s">
        <v>23</v>
      </c>
      <c r="G131" s="2">
        <v>199917</v>
      </c>
      <c r="H131" t="s">
        <v>14</v>
      </c>
      <c r="I131" s="1">
        <v>45498</v>
      </c>
      <c r="J131" t="str">
        <f t="shared" si="8"/>
        <v>Millennials</v>
      </c>
      <c r="K131" t="str" cm="1">
        <f t="array" ref="K131">_xlfn.IFS(G131&lt;=50000,"Low",G131&lt;=100000,"Medium",G131&lt;=150000,"High",G131&gt;=150001,"Premium")</f>
        <v>Premium</v>
      </c>
      <c r="L131" s="3">
        <f t="shared" ca="1" si="9"/>
        <v>1</v>
      </c>
      <c r="M131" t="str">
        <f t="shared" ca="1" si="10"/>
        <v>1-3yrs</v>
      </c>
      <c r="N131" s="3">
        <f t="shared" ca="1" si="11"/>
        <v>422</v>
      </c>
    </row>
    <row r="132" spans="1:14" x14ac:dyDescent="0.35">
      <c r="A132" t="s">
        <v>285</v>
      </c>
      <c r="B132" t="s">
        <v>286</v>
      </c>
      <c r="C132" t="s">
        <v>17</v>
      </c>
      <c r="D132">
        <v>43</v>
      </c>
      <c r="E132" t="s">
        <v>12</v>
      </c>
      <c r="F132" t="s">
        <v>31</v>
      </c>
      <c r="G132" s="2">
        <v>112124</v>
      </c>
      <c r="H132" t="s">
        <v>20</v>
      </c>
      <c r="I132" s="1">
        <v>43955</v>
      </c>
      <c r="J132" t="str">
        <f t="shared" si="8"/>
        <v>Millennials</v>
      </c>
      <c r="K132" t="str" cm="1">
        <f t="array" ref="K132">_xlfn.IFS(G132&lt;=50000,"Low",G132&lt;=100000,"Medium",G132&lt;=150000,"High",G132&gt;=150001,"Premium")</f>
        <v>High</v>
      </c>
      <c r="L132" s="3">
        <f t="shared" ca="1" si="9"/>
        <v>5</v>
      </c>
      <c r="M132" t="str">
        <f t="shared" ca="1" si="10"/>
        <v>5yrs +</v>
      </c>
      <c r="N132" s="3">
        <f t="shared" ca="1" si="11"/>
        <v>227</v>
      </c>
    </row>
    <row r="133" spans="1:14" x14ac:dyDescent="0.35">
      <c r="A133" t="s">
        <v>287</v>
      </c>
      <c r="B133" t="s">
        <v>288</v>
      </c>
      <c r="C133" t="s">
        <v>11</v>
      </c>
      <c r="D133">
        <v>33</v>
      </c>
      <c r="E133" t="s">
        <v>12</v>
      </c>
      <c r="F133" t="s">
        <v>19</v>
      </c>
      <c r="G133" s="2">
        <v>111659</v>
      </c>
      <c r="H133" t="s">
        <v>14</v>
      </c>
      <c r="I133" s="1">
        <v>43143</v>
      </c>
      <c r="J133" t="str">
        <f t="shared" si="8"/>
        <v>Millennials</v>
      </c>
      <c r="K133" t="str" cm="1">
        <f t="array" ref="K133">_xlfn.IFS(G133&lt;=50000,"Low",G133&lt;=100000,"Medium",G133&lt;=150000,"High",G133&gt;=150001,"Premium")</f>
        <v>High</v>
      </c>
      <c r="L133" s="3">
        <f t="shared" ca="1" si="9"/>
        <v>7</v>
      </c>
      <c r="M133" t="str">
        <f t="shared" ca="1" si="10"/>
        <v>5yrs +</v>
      </c>
      <c r="N133" s="3">
        <f t="shared" ca="1" si="11"/>
        <v>118</v>
      </c>
    </row>
    <row r="134" spans="1:14" x14ac:dyDescent="0.35">
      <c r="A134" t="s">
        <v>289</v>
      </c>
      <c r="B134" t="s">
        <v>290</v>
      </c>
      <c r="C134" t="s">
        <v>11</v>
      </c>
      <c r="D134">
        <v>68</v>
      </c>
      <c r="E134" t="s">
        <v>30</v>
      </c>
      <c r="F134" t="s">
        <v>37</v>
      </c>
      <c r="G134" s="2">
        <v>184134</v>
      </c>
      <c r="H134" t="s">
        <v>14</v>
      </c>
      <c r="I134" s="1">
        <v>44454</v>
      </c>
      <c r="J134" t="str">
        <f t="shared" si="8"/>
        <v>Boomers</v>
      </c>
      <c r="K134" t="str" cm="1">
        <f t="array" ref="K134">_xlfn.IFS(G134&lt;=50000,"Low",G134&lt;=100000,"Medium",G134&lt;=150000,"High",G134&gt;=150001,"Premium")</f>
        <v>Premium</v>
      </c>
      <c r="L134" s="3">
        <f t="shared" ca="1" si="9"/>
        <v>4</v>
      </c>
      <c r="M134" t="str">
        <f t="shared" ca="1" si="10"/>
        <v>3-5yrs</v>
      </c>
      <c r="N134" s="3">
        <f t="shared" ca="1" si="11"/>
        <v>273</v>
      </c>
    </row>
    <row r="135" spans="1:14" x14ac:dyDescent="0.35">
      <c r="A135" t="s">
        <v>291</v>
      </c>
      <c r="B135" t="s">
        <v>292</v>
      </c>
      <c r="C135" t="s">
        <v>11</v>
      </c>
      <c r="D135">
        <v>54</v>
      </c>
      <c r="E135" t="s">
        <v>34</v>
      </c>
      <c r="F135" t="s">
        <v>23</v>
      </c>
      <c r="G135" s="2">
        <v>95713</v>
      </c>
      <c r="H135" t="s">
        <v>14</v>
      </c>
      <c r="I135" s="1">
        <v>43302</v>
      </c>
      <c r="J135" t="str">
        <f t="shared" si="8"/>
        <v>Gen X</v>
      </c>
      <c r="K135" t="str" cm="1">
        <f t="array" ref="K135">_xlfn.IFS(G135&lt;=50000,"Low",G135&lt;=100000,"Medium",G135&lt;=150000,"High",G135&gt;=150001,"Premium")</f>
        <v>Medium</v>
      </c>
      <c r="L135" s="3">
        <f t="shared" ca="1" si="9"/>
        <v>7</v>
      </c>
      <c r="M135" t="str">
        <f t="shared" ca="1" si="10"/>
        <v>5yrs +</v>
      </c>
      <c r="N135" s="3">
        <f t="shared" ca="1" si="11"/>
        <v>118</v>
      </c>
    </row>
    <row r="136" spans="1:14" x14ac:dyDescent="0.35">
      <c r="A136" t="s">
        <v>293</v>
      </c>
      <c r="B136" t="s">
        <v>294</v>
      </c>
      <c r="C136" t="s">
        <v>11</v>
      </c>
      <c r="D136">
        <v>39</v>
      </c>
      <c r="E136" t="s">
        <v>34</v>
      </c>
      <c r="F136" t="s">
        <v>31</v>
      </c>
      <c r="G136" s="2">
        <v>95418</v>
      </c>
      <c r="H136" t="s">
        <v>20</v>
      </c>
      <c r="I136" s="1">
        <v>43262</v>
      </c>
      <c r="J136" t="str">
        <f t="shared" si="8"/>
        <v>Millennials</v>
      </c>
      <c r="K136" t="str" cm="1">
        <f t="array" ref="K136">_xlfn.IFS(G136&lt;=50000,"Low",G136&lt;=100000,"Medium",G136&lt;=150000,"High",G136&gt;=150001,"Premium")</f>
        <v>Medium</v>
      </c>
      <c r="L136" s="3">
        <f t="shared" ca="1" si="9"/>
        <v>7</v>
      </c>
      <c r="M136" t="str">
        <f t="shared" ca="1" si="10"/>
        <v>5yrs +</v>
      </c>
      <c r="N136" s="3">
        <f t="shared" ca="1" si="11"/>
        <v>118</v>
      </c>
    </row>
    <row r="137" spans="1:14" x14ac:dyDescent="0.35">
      <c r="A137" t="s">
        <v>295</v>
      </c>
      <c r="B137" t="s">
        <v>296</v>
      </c>
      <c r="C137" t="s">
        <v>11</v>
      </c>
      <c r="D137">
        <v>74</v>
      </c>
      <c r="E137" t="s">
        <v>34</v>
      </c>
      <c r="F137" t="s">
        <v>31</v>
      </c>
      <c r="G137" s="2">
        <v>148232</v>
      </c>
      <c r="H137" t="s">
        <v>20</v>
      </c>
      <c r="I137" s="1">
        <v>45439</v>
      </c>
      <c r="J137" t="str">
        <f t="shared" si="8"/>
        <v>Boomers</v>
      </c>
      <c r="K137" t="str" cm="1">
        <f t="array" ref="K137">_xlfn.IFS(G137&lt;=50000,"Low",G137&lt;=100000,"Medium",G137&lt;=150000,"High",G137&gt;=150001,"Premium")</f>
        <v>High</v>
      </c>
      <c r="L137" s="3">
        <f t="shared" ca="1" si="9"/>
        <v>1</v>
      </c>
      <c r="M137" t="str">
        <f t="shared" ca="1" si="10"/>
        <v>1-3yrs</v>
      </c>
      <c r="N137" s="3">
        <f t="shared" ca="1" si="11"/>
        <v>422</v>
      </c>
    </row>
    <row r="138" spans="1:14" x14ac:dyDescent="0.35">
      <c r="A138" t="s">
        <v>297</v>
      </c>
      <c r="B138" t="s">
        <v>298</v>
      </c>
      <c r="C138" t="s">
        <v>11</v>
      </c>
      <c r="D138">
        <v>46</v>
      </c>
      <c r="E138" t="s">
        <v>12</v>
      </c>
      <c r="F138" t="s">
        <v>13</v>
      </c>
      <c r="G138" s="2">
        <v>185904</v>
      </c>
      <c r="H138" t="s">
        <v>14</v>
      </c>
      <c r="I138" s="1">
        <v>43594</v>
      </c>
      <c r="J138" t="str">
        <f t="shared" si="8"/>
        <v>Gen X</v>
      </c>
      <c r="K138" t="str" cm="1">
        <f t="array" ref="K138">_xlfn.IFS(G138&lt;=50000,"Low",G138&lt;=100000,"Medium",G138&lt;=150000,"High",G138&gt;=150001,"Premium")</f>
        <v>Premium</v>
      </c>
      <c r="L138" s="3">
        <f t="shared" ca="1" si="9"/>
        <v>6</v>
      </c>
      <c r="M138" t="str">
        <f t="shared" ca="1" si="10"/>
        <v>5yrs +</v>
      </c>
      <c r="N138" s="3">
        <f t="shared" ca="1" si="11"/>
        <v>169</v>
      </c>
    </row>
    <row r="139" spans="1:14" x14ac:dyDescent="0.35">
      <c r="A139" t="s">
        <v>299</v>
      </c>
      <c r="B139" t="s">
        <v>300</v>
      </c>
      <c r="C139" t="s">
        <v>11</v>
      </c>
      <c r="D139">
        <v>31</v>
      </c>
      <c r="E139" t="s">
        <v>34</v>
      </c>
      <c r="F139" t="s">
        <v>42</v>
      </c>
      <c r="G139" s="2">
        <v>183038</v>
      </c>
      <c r="H139" t="s">
        <v>14</v>
      </c>
      <c r="I139" s="1">
        <v>42817</v>
      </c>
      <c r="J139" t="str">
        <f t="shared" si="8"/>
        <v>Millennials</v>
      </c>
      <c r="K139" t="str" cm="1">
        <f t="array" ref="K139">_xlfn.IFS(G139&lt;=50000,"Low",G139&lt;=100000,"Medium",G139&lt;=150000,"High",G139&gt;=150001,"Premium")</f>
        <v>Premium</v>
      </c>
      <c r="L139" s="3">
        <f t="shared" ca="1" si="9"/>
        <v>8</v>
      </c>
      <c r="M139" t="str">
        <f t="shared" ca="1" si="10"/>
        <v>5yrs +</v>
      </c>
      <c r="N139" s="3">
        <f t="shared" ca="1" si="11"/>
        <v>59</v>
      </c>
    </row>
    <row r="140" spans="1:14" x14ac:dyDescent="0.35">
      <c r="A140" t="s">
        <v>301</v>
      </c>
      <c r="B140" t="s">
        <v>302</v>
      </c>
      <c r="C140" t="s">
        <v>11</v>
      </c>
      <c r="D140">
        <v>45</v>
      </c>
      <c r="E140" t="s">
        <v>34</v>
      </c>
      <c r="F140" t="s">
        <v>19</v>
      </c>
      <c r="G140" s="2">
        <v>164059</v>
      </c>
      <c r="H140" t="s">
        <v>14</v>
      </c>
      <c r="I140" s="1">
        <v>45619</v>
      </c>
      <c r="J140" t="str">
        <f t="shared" si="8"/>
        <v>Gen X</v>
      </c>
      <c r="K140" t="str" cm="1">
        <f t="array" ref="K140">_xlfn.IFS(G140&lt;=50000,"Low",G140&lt;=100000,"Medium",G140&lt;=150000,"High",G140&gt;=150001,"Premium")</f>
        <v>Premium</v>
      </c>
      <c r="L140" s="3">
        <f t="shared" ca="1" si="9"/>
        <v>1</v>
      </c>
      <c r="M140" t="str">
        <f t="shared" ca="1" si="10"/>
        <v>1-3yrs</v>
      </c>
      <c r="N140" s="3">
        <f t="shared" ca="1" si="11"/>
        <v>422</v>
      </c>
    </row>
    <row r="141" spans="1:14" x14ac:dyDescent="0.35">
      <c r="A141" t="s">
        <v>303</v>
      </c>
      <c r="B141" t="s">
        <v>304</v>
      </c>
      <c r="C141" t="s">
        <v>11</v>
      </c>
      <c r="D141">
        <v>22</v>
      </c>
      <c r="E141" t="s">
        <v>12</v>
      </c>
      <c r="F141" t="s">
        <v>37</v>
      </c>
      <c r="G141" s="2">
        <v>188383</v>
      </c>
      <c r="H141" t="s">
        <v>20</v>
      </c>
      <c r="I141" s="1">
        <v>43371</v>
      </c>
      <c r="J141" t="str">
        <f t="shared" si="8"/>
        <v>Gen Z</v>
      </c>
      <c r="K141" t="str" cm="1">
        <f t="array" ref="K141">_xlfn.IFS(G141&lt;=50000,"Low",G141&lt;=100000,"Medium",G141&lt;=150000,"High",G141&gt;=150001,"Premium")</f>
        <v>Premium</v>
      </c>
      <c r="L141" s="3">
        <f t="shared" ca="1" si="9"/>
        <v>7</v>
      </c>
      <c r="M141" t="str">
        <f t="shared" ca="1" si="10"/>
        <v>5yrs +</v>
      </c>
      <c r="N141" s="3">
        <f t="shared" ca="1" si="11"/>
        <v>118</v>
      </c>
    </row>
    <row r="142" spans="1:14" x14ac:dyDescent="0.35">
      <c r="A142" t="s">
        <v>305</v>
      </c>
      <c r="B142" t="s">
        <v>306</v>
      </c>
      <c r="C142" t="s">
        <v>17</v>
      </c>
      <c r="D142">
        <v>64</v>
      </c>
      <c r="E142" t="s">
        <v>18</v>
      </c>
      <c r="F142" t="s">
        <v>27</v>
      </c>
      <c r="G142" s="2">
        <v>51575</v>
      </c>
      <c r="H142" t="s">
        <v>20</v>
      </c>
      <c r="I142" s="1">
        <v>43326</v>
      </c>
      <c r="J142" t="str">
        <f t="shared" si="8"/>
        <v>Boomers</v>
      </c>
      <c r="K142" t="str" cm="1">
        <f t="array" ref="K142">_xlfn.IFS(G142&lt;=50000,"Low",G142&lt;=100000,"Medium",G142&lt;=150000,"High",G142&gt;=150001,"Premium")</f>
        <v>Medium</v>
      </c>
      <c r="L142" s="3">
        <f t="shared" ca="1" si="9"/>
        <v>7</v>
      </c>
      <c r="M142" t="str">
        <f t="shared" ca="1" si="10"/>
        <v>5yrs +</v>
      </c>
      <c r="N142" s="3">
        <f t="shared" ca="1" si="11"/>
        <v>118</v>
      </c>
    </row>
    <row r="143" spans="1:14" x14ac:dyDescent="0.35">
      <c r="A143" t="s">
        <v>307</v>
      </c>
      <c r="B143" t="s">
        <v>308</v>
      </c>
      <c r="C143" t="s">
        <v>11</v>
      </c>
      <c r="D143">
        <v>66</v>
      </c>
      <c r="E143" t="s">
        <v>12</v>
      </c>
      <c r="F143" t="s">
        <v>42</v>
      </c>
      <c r="G143" s="2">
        <v>83852</v>
      </c>
      <c r="H143" t="s">
        <v>14</v>
      </c>
      <c r="I143" s="1">
        <v>45560</v>
      </c>
      <c r="J143" t="str">
        <f t="shared" si="8"/>
        <v>Boomers</v>
      </c>
      <c r="K143" t="str" cm="1">
        <f t="array" ref="K143">_xlfn.IFS(G143&lt;=50000,"Low",G143&lt;=100000,"Medium",G143&lt;=150000,"High",G143&gt;=150001,"Premium")</f>
        <v>Medium</v>
      </c>
      <c r="L143" s="3">
        <f t="shared" ca="1" si="9"/>
        <v>1</v>
      </c>
      <c r="M143" t="str">
        <f t="shared" ca="1" si="10"/>
        <v>1-3yrs</v>
      </c>
      <c r="N143" s="3">
        <f t="shared" ca="1" si="11"/>
        <v>422</v>
      </c>
    </row>
    <row r="144" spans="1:14" x14ac:dyDescent="0.35">
      <c r="A144" t="s">
        <v>309</v>
      </c>
      <c r="B144" t="s">
        <v>310</v>
      </c>
      <c r="C144" t="s">
        <v>17</v>
      </c>
      <c r="D144">
        <v>47</v>
      </c>
      <c r="E144" t="s">
        <v>34</v>
      </c>
      <c r="F144" t="s">
        <v>42</v>
      </c>
      <c r="G144" s="2">
        <v>152079</v>
      </c>
      <c r="H144" t="s">
        <v>14</v>
      </c>
      <c r="I144" s="1">
        <v>44528</v>
      </c>
      <c r="J144" t="str">
        <f t="shared" si="8"/>
        <v>Gen X</v>
      </c>
      <c r="K144" t="str" cm="1">
        <f t="array" ref="K144">_xlfn.IFS(G144&lt;=50000,"Low",G144&lt;=100000,"Medium",G144&lt;=150000,"High",G144&gt;=150001,"Premium")</f>
        <v>Premium</v>
      </c>
      <c r="L144" s="3">
        <f t="shared" ca="1" si="9"/>
        <v>3</v>
      </c>
      <c r="M144" t="str">
        <f t="shared" ca="1" si="10"/>
        <v>3-5yrs</v>
      </c>
      <c r="N144" s="3">
        <f t="shared" ca="1" si="11"/>
        <v>319</v>
      </c>
    </row>
    <row r="145" spans="1:14" x14ac:dyDescent="0.35">
      <c r="A145" t="s">
        <v>311</v>
      </c>
      <c r="B145" t="s">
        <v>312</v>
      </c>
      <c r="C145" t="s">
        <v>17</v>
      </c>
      <c r="D145">
        <v>63</v>
      </c>
      <c r="E145" t="s">
        <v>12</v>
      </c>
      <c r="F145" t="s">
        <v>13</v>
      </c>
      <c r="G145" s="2">
        <v>96242</v>
      </c>
      <c r="H145" t="s">
        <v>14</v>
      </c>
      <c r="I145" s="1">
        <v>43084</v>
      </c>
      <c r="J145" t="str">
        <f t="shared" si="8"/>
        <v>Boomers</v>
      </c>
      <c r="K145" t="str" cm="1">
        <f t="array" ref="K145">_xlfn.IFS(G145&lt;=50000,"Low",G145&lt;=100000,"Medium",G145&lt;=150000,"High",G145&gt;=150001,"Premium")</f>
        <v>Medium</v>
      </c>
      <c r="L145" s="3">
        <f t="shared" ca="1" si="9"/>
        <v>7</v>
      </c>
      <c r="M145" t="str">
        <f t="shared" ca="1" si="10"/>
        <v>5yrs +</v>
      </c>
      <c r="N145" s="3">
        <f t="shared" ca="1" si="11"/>
        <v>118</v>
      </c>
    </row>
    <row r="146" spans="1:14" x14ac:dyDescent="0.35">
      <c r="A146" t="s">
        <v>313</v>
      </c>
      <c r="B146" t="s">
        <v>314</v>
      </c>
      <c r="C146" t="s">
        <v>17</v>
      </c>
      <c r="D146">
        <v>69</v>
      </c>
      <c r="E146" t="s">
        <v>18</v>
      </c>
      <c r="F146" t="s">
        <v>23</v>
      </c>
      <c r="G146" s="2">
        <v>198589</v>
      </c>
      <c r="H146" t="s">
        <v>14</v>
      </c>
      <c r="I146" s="1">
        <v>43588</v>
      </c>
      <c r="J146" t="str">
        <f t="shared" si="8"/>
        <v>Boomers</v>
      </c>
      <c r="K146" t="str" cm="1">
        <f t="array" ref="K146">_xlfn.IFS(G146&lt;=50000,"Low",G146&lt;=100000,"Medium",G146&lt;=150000,"High",G146&gt;=150001,"Premium")</f>
        <v>Premium</v>
      </c>
      <c r="L146" s="3">
        <f t="shared" ca="1" si="9"/>
        <v>6</v>
      </c>
      <c r="M146" t="str">
        <f t="shared" ca="1" si="10"/>
        <v>5yrs +</v>
      </c>
      <c r="N146" s="3">
        <f t="shared" ca="1" si="11"/>
        <v>169</v>
      </c>
    </row>
    <row r="147" spans="1:14" x14ac:dyDescent="0.35">
      <c r="A147" t="s">
        <v>315</v>
      </c>
      <c r="B147" t="s">
        <v>316</v>
      </c>
      <c r="C147" t="s">
        <v>11</v>
      </c>
      <c r="D147">
        <v>22</v>
      </c>
      <c r="E147" t="s">
        <v>12</v>
      </c>
      <c r="F147" t="s">
        <v>23</v>
      </c>
      <c r="G147" s="2">
        <v>49257</v>
      </c>
      <c r="H147" t="s">
        <v>14</v>
      </c>
      <c r="I147" s="1">
        <v>44029</v>
      </c>
      <c r="J147" t="str">
        <f t="shared" si="8"/>
        <v>Gen Z</v>
      </c>
      <c r="K147" t="str" cm="1">
        <f t="array" ref="K147">_xlfn.IFS(G147&lt;=50000,"Low",G147&lt;=100000,"Medium",G147&lt;=150000,"High",G147&gt;=150001,"Premium")</f>
        <v>Low</v>
      </c>
      <c r="L147" s="3">
        <f t="shared" ca="1" si="9"/>
        <v>5</v>
      </c>
      <c r="M147" t="str">
        <f t="shared" ca="1" si="10"/>
        <v>5yrs +</v>
      </c>
      <c r="N147" s="3">
        <f t="shared" ca="1" si="11"/>
        <v>227</v>
      </c>
    </row>
    <row r="148" spans="1:14" x14ac:dyDescent="0.35">
      <c r="A148" t="s">
        <v>317</v>
      </c>
      <c r="B148" t="s">
        <v>318</v>
      </c>
      <c r="C148" t="s">
        <v>11</v>
      </c>
      <c r="D148">
        <v>29</v>
      </c>
      <c r="E148" t="s">
        <v>34</v>
      </c>
      <c r="F148" t="s">
        <v>13</v>
      </c>
      <c r="G148" s="2">
        <v>193279</v>
      </c>
      <c r="H148" t="s">
        <v>24</v>
      </c>
      <c r="I148" s="1">
        <v>43888</v>
      </c>
      <c r="J148" t="str">
        <f t="shared" si="8"/>
        <v>Millennials</v>
      </c>
      <c r="K148" t="str" cm="1">
        <f t="array" ref="K148">_xlfn.IFS(G148&lt;=50000,"Low",G148&lt;=100000,"Medium",G148&lt;=150000,"High",G148&gt;=150001,"Premium")</f>
        <v>Premium</v>
      </c>
      <c r="L148" s="3">
        <f t="shared" ca="1" si="9"/>
        <v>5</v>
      </c>
      <c r="M148" t="str">
        <f t="shared" ca="1" si="10"/>
        <v>5yrs +</v>
      </c>
      <c r="N148" s="3">
        <f t="shared" ca="1" si="11"/>
        <v>227</v>
      </c>
    </row>
    <row r="149" spans="1:14" x14ac:dyDescent="0.35">
      <c r="A149" t="s">
        <v>319</v>
      </c>
      <c r="B149" t="s">
        <v>320</v>
      </c>
      <c r="C149" t="s">
        <v>11</v>
      </c>
      <c r="D149">
        <v>33</v>
      </c>
      <c r="E149" t="s">
        <v>18</v>
      </c>
      <c r="F149" t="s">
        <v>31</v>
      </c>
      <c r="G149" s="2">
        <v>164353</v>
      </c>
      <c r="H149" t="s">
        <v>14</v>
      </c>
      <c r="I149" s="1">
        <v>43337</v>
      </c>
      <c r="J149" t="str">
        <f t="shared" si="8"/>
        <v>Millennials</v>
      </c>
      <c r="K149" t="str" cm="1">
        <f t="array" ref="K149">_xlfn.IFS(G149&lt;=50000,"Low",G149&lt;=100000,"Medium",G149&lt;=150000,"High",G149&gt;=150001,"Premium")</f>
        <v>Premium</v>
      </c>
      <c r="L149" s="3">
        <f t="shared" ca="1" si="9"/>
        <v>7</v>
      </c>
      <c r="M149" t="str">
        <f t="shared" ca="1" si="10"/>
        <v>5yrs +</v>
      </c>
      <c r="N149" s="3">
        <f t="shared" ca="1" si="11"/>
        <v>118</v>
      </c>
    </row>
    <row r="150" spans="1:14" x14ac:dyDescent="0.35">
      <c r="A150" t="s">
        <v>321</v>
      </c>
      <c r="B150" t="s">
        <v>322</v>
      </c>
      <c r="C150" t="s">
        <v>11</v>
      </c>
      <c r="D150">
        <v>43</v>
      </c>
      <c r="E150" t="s">
        <v>30</v>
      </c>
      <c r="F150" t="s">
        <v>23</v>
      </c>
      <c r="G150" s="2">
        <v>81246</v>
      </c>
      <c r="H150" t="s">
        <v>20</v>
      </c>
      <c r="I150" s="1">
        <v>44893</v>
      </c>
      <c r="J150" t="str">
        <f t="shared" si="8"/>
        <v>Millennials</v>
      </c>
      <c r="K150" t="str" cm="1">
        <f t="array" ref="K150">_xlfn.IFS(G150&lt;=50000,"Low",G150&lt;=100000,"Medium",G150&lt;=150000,"High",G150&gt;=150001,"Premium")</f>
        <v>Medium</v>
      </c>
      <c r="L150" s="3">
        <f t="shared" ca="1" si="9"/>
        <v>2</v>
      </c>
      <c r="M150" t="str">
        <f t="shared" ca="1" si="10"/>
        <v>1-3yrs</v>
      </c>
      <c r="N150" s="3">
        <f t="shared" ca="1" si="11"/>
        <v>367</v>
      </c>
    </row>
    <row r="151" spans="1:14" x14ac:dyDescent="0.35">
      <c r="A151" t="s">
        <v>323</v>
      </c>
      <c r="B151" t="s">
        <v>324</v>
      </c>
      <c r="C151" t="s">
        <v>17</v>
      </c>
      <c r="D151">
        <v>43</v>
      </c>
      <c r="E151" t="s">
        <v>34</v>
      </c>
      <c r="F151" t="s">
        <v>19</v>
      </c>
      <c r="G151" s="2">
        <v>21435</v>
      </c>
      <c r="H151" t="s">
        <v>14</v>
      </c>
      <c r="I151" s="1">
        <v>44015</v>
      </c>
      <c r="J151" t="str">
        <f t="shared" si="8"/>
        <v>Millennials</v>
      </c>
      <c r="K151" t="str" cm="1">
        <f t="array" ref="K151">_xlfn.IFS(G151&lt;=50000,"Low",G151&lt;=100000,"Medium",G151&lt;=150000,"High",G151&gt;=150001,"Premium")</f>
        <v>Low</v>
      </c>
      <c r="L151" s="3">
        <f t="shared" ca="1" si="9"/>
        <v>5</v>
      </c>
      <c r="M151" t="str">
        <f t="shared" ca="1" si="10"/>
        <v>5yrs +</v>
      </c>
      <c r="N151" s="3">
        <f t="shared" ca="1" si="11"/>
        <v>227</v>
      </c>
    </row>
    <row r="152" spans="1:14" x14ac:dyDescent="0.35">
      <c r="A152" t="s">
        <v>325</v>
      </c>
      <c r="B152" t="s">
        <v>326</v>
      </c>
      <c r="C152" t="s">
        <v>11</v>
      </c>
      <c r="D152">
        <v>65</v>
      </c>
      <c r="E152" t="s">
        <v>18</v>
      </c>
      <c r="F152" t="s">
        <v>37</v>
      </c>
      <c r="G152" s="2">
        <v>111357</v>
      </c>
      <c r="H152" t="s">
        <v>14</v>
      </c>
      <c r="I152" s="1">
        <v>43949</v>
      </c>
      <c r="J152" t="str">
        <f t="shared" si="8"/>
        <v>Boomers</v>
      </c>
      <c r="K152" t="str" cm="1">
        <f t="array" ref="K152">_xlfn.IFS(G152&lt;=50000,"Low",G152&lt;=100000,"Medium",G152&lt;=150000,"High",G152&gt;=150001,"Premium")</f>
        <v>High</v>
      </c>
      <c r="L152" s="3">
        <f t="shared" ca="1" si="9"/>
        <v>5</v>
      </c>
      <c r="M152" t="str">
        <f t="shared" ca="1" si="10"/>
        <v>5yrs +</v>
      </c>
      <c r="N152" s="3">
        <f t="shared" ca="1" si="11"/>
        <v>227</v>
      </c>
    </row>
    <row r="153" spans="1:14" x14ac:dyDescent="0.35">
      <c r="A153" t="s">
        <v>327</v>
      </c>
      <c r="B153" t="s">
        <v>328</v>
      </c>
      <c r="C153" t="s">
        <v>11</v>
      </c>
      <c r="D153">
        <v>38</v>
      </c>
      <c r="E153" t="s">
        <v>18</v>
      </c>
      <c r="F153" t="s">
        <v>42</v>
      </c>
      <c r="G153" s="2">
        <v>177732</v>
      </c>
      <c r="H153" t="s">
        <v>20</v>
      </c>
      <c r="I153" s="1">
        <v>43409</v>
      </c>
      <c r="J153" t="str">
        <f t="shared" si="8"/>
        <v>Millennials</v>
      </c>
      <c r="K153" t="str" cm="1">
        <f t="array" ref="K153">_xlfn.IFS(G153&lt;=50000,"Low",G153&lt;=100000,"Medium",G153&lt;=150000,"High",G153&gt;=150001,"Premium")</f>
        <v>Premium</v>
      </c>
      <c r="L153" s="3">
        <f t="shared" ca="1" si="9"/>
        <v>7</v>
      </c>
      <c r="M153" t="str">
        <f t="shared" ca="1" si="10"/>
        <v>5yrs +</v>
      </c>
      <c r="N153" s="3">
        <f t="shared" ca="1" si="11"/>
        <v>118</v>
      </c>
    </row>
    <row r="154" spans="1:14" x14ac:dyDescent="0.35">
      <c r="A154" t="s">
        <v>329</v>
      </c>
      <c r="B154" t="s">
        <v>330</v>
      </c>
      <c r="C154" t="s">
        <v>11</v>
      </c>
      <c r="D154">
        <v>56</v>
      </c>
      <c r="E154" t="s">
        <v>30</v>
      </c>
      <c r="F154" t="s">
        <v>42</v>
      </c>
      <c r="G154" s="2">
        <v>156156</v>
      </c>
      <c r="H154" t="s">
        <v>20</v>
      </c>
      <c r="I154" s="1">
        <v>42365</v>
      </c>
      <c r="J154" t="str">
        <f t="shared" si="8"/>
        <v>Gen X</v>
      </c>
      <c r="K154" t="str" cm="1">
        <f t="array" ref="K154">_xlfn.IFS(G154&lt;=50000,"Low",G154&lt;=100000,"Medium",G154&lt;=150000,"High",G154&gt;=150001,"Premium")</f>
        <v>Premium</v>
      </c>
      <c r="L154" s="3">
        <f t="shared" ca="1" si="9"/>
        <v>9</v>
      </c>
      <c r="M154" t="str">
        <f t="shared" ca="1" si="10"/>
        <v>5yrs +</v>
      </c>
      <c r="N154" s="3">
        <f t="shared" ca="1" si="11"/>
        <v>17</v>
      </c>
    </row>
    <row r="155" spans="1:14" x14ac:dyDescent="0.35">
      <c r="A155" t="s">
        <v>331</v>
      </c>
      <c r="B155" t="s">
        <v>332</v>
      </c>
      <c r="C155" t="s">
        <v>11</v>
      </c>
      <c r="D155">
        <v>53</v>
      </c>
      <c r="E155" t="s">
        <v>12</v>
      </c>
      <c r="F155" t="s">
        <v>19</v>
      </c>
      <c r="G155" s="2">
        <v>164579</v>
      </c>
      <c r="H155" t="s">
        <v>24</v>
      </c>
      <c r="I155" s="1">
        <v>42280</v>
      </c>
      <c r="J155" t="str">
        <f t="shared" si="8"/>
        <v>Gen X</v>
      </c>
      <c r="K155" t="str" cm="1">
        <f t="array" ref="K155">_xlfn.IFS(G155&lt;=50000,"Low",G155&lt;=100000,"Medium",G155&lt;=150000,"High",G155&gt;=150001,"Premium")</f>
        <v>Premium</v>
      </c>
      <c r="L155" s="3">
        <f t="shared" ca="1" si="9"/>
        <v>10</v>
      </c>
      <c r="M155" t="str">
        <f t="shared" ca="1" si="10"/>
        <v>5yrs +</v>
      </c>
      <c r="N155" s="3">
        <f t="shared" ca="1" si="11"/>
        <v>1</v>
      </c>
    </row>
    <row r="156" spans="1:14" x14ac:dyDescent="0.35">
      <c r="A156" t="s">
        <v>333</v>
      </c>
      <c r="B156" t="s">
        <v>334</v>
      </c>
      <c r="C156" t="s">
        <v>11</v>
      </c>
      <c r="D156">
        <v>50</v>
      </c>
      <c r="E156" t="s">
        <v>12</v>
      </c>
      <c r="F156" t="s">
        <v>23</v>
      </c>
      <c r="G156" s="2">
        <v>103807</v>
      </c>
      <c r="H156" t="s">
        <v>14</v>
      </c>
      <c r="I156" s="1">
        <v>45264</v>
      </c>
      <c r="J156" t="str">
        <f t="shared" si="8"/>
        <v>Gen X</v>
      </c>
      <c r="K156" t="str" cm="1">
        <f t="array" ref="K156">_xlfn.IFS(G156&lt;=50000,"Low",G156&lt;=100000,"Medium",G156&lt;=150000,"High",G156&gt;=150001,"Premium")</f>
        <v>High</v>
      </c>
      <c r="L156" s="3">
        <f t="shared" ca="1" si="9"/>
        <v>1</v>
      </c>
      <c r="M156" t="str">
        <f t="shared" ca="1" si="10"/>
        <v>1-3yrs</v>
      </c>
      <c r="N156" s="3">
        <f t="shared" ca="1" si="11"/>
        <v>422</v>
      </c>
    </row>
    <row r="157" spans="1:14" x14ac:dyDescent="0.35">
      <c r="A157" t="s">
        <v>335</v>
      </c>
      <c r="B157" t="s">
        <v>336</v>
      </c>
      <c r="C157" t="s">
        <v>17</v>
      </c>
      <c r="D157">
        <v>47</v>
      </c>
      <c r="E157" t="s">
        <v>34</v>
      </c>
      <c r="F157" t="s">
        <v>42</v>
      </c>
      <c r="G157" s="2">
        <v>196611</v>
      </c>
      <c r="H157" t="s">
        <v>14</v>
      </c>
      <c r="I157" s="1">
        <v>44850</v>
      </c>
      <c r="J157" t="str">
        <f t="shared" si="8"/>
        <v>Gen X</v>
      </c>
      <c r="K157" t="str" cm="1">
        <f t="array" ref="K157">_xlfn.IFS(G157&lt;=50000,"Low",G157&lt;=100000,"Medium",G157&lt;=150000,"High",G157&gt;=150001,"Premium")</f>
        <v>Premium</v>
      </c>
      <c r="L157" s="3">
        <f t="shared" ca="1" si="9"/>
        <v>3</v>
      </c>
      <c r="M157" t="str">
        <f t="shared" ca="1" si="10"/>
        <v>3-5yrs</v>
      </c>
      <c r="N157" s="3">
        <f t="shared" ca="1" si="11"/>
        <v>319</v>
      </c>
    </row>
    <row r="158" spans="1:14" x14ac:dyDescent="0.35">
      <c r="A158" t="s">
        <v>337</v>
      </c>
      <c r="B158" t="s">
        <v>338</v>
      </c>
      <c r="C158" t="s">
        <v>11</v>
      </c>
      <c r="D158">
        <v>54</v>
      </c>
      <c r="E158" t="s">
        <v>30</v>
      </c>
      <c r="F158" t="s">
        <v>27</v>
      </c>
      <c r="G158" s="2">
        <v>135953</v>
      </c>
      <c r="H158" t="s">
        <v>20</v>
      </c>
      <c r="I158" s="1">
        <v>43172</v>
      </c>
      <c r="J158" t="str">
        <f t="shared" si="8"/>
        <v>Gen X</v>
      </c>
      <c r="K158" t="str" cm="1">
        <f t="array" ref="K158">_xlfn.IFS(G158&lt;=50000,"Low",G158&lt;=100000,"Medium",G158&lt;=150000,"High",G158&gt;=150001,"Premium")</f>
        <v>High</v>
      </c>
      <c r="L158" s="3">
        <f t="shared" ca="1" si="9"/>
        <v>7</v>
      </c>
      <c r="M158" t="str">
        <f t="shared" ca="1" si="10"/>
        <v>5yrs +</v>
      </c>
      <c r="N158" s="3">
        <f t="shared" ca="1" si="11"/>
        <v>118</v>
      </c>
    </row>
    <row r="159" spans="1:14" x14ac:dyDescent="0.35">
      <c r="A159" t="s">
        <v>339</v>
      </c>
      <c r="B159" t="s">
        <v>340</v>
      </c>
      <c r="C159" t="s">
        <v>17</v>
      </c>
      <c r="D159">
        <v>40</v>
      </c>
      <c r="E159" t="s">
        <v>12</v>
      </c>
      <c r="F159" t="s">
        <v>37</v>
      </c>
      <c r="G159" s="2">
        <v>158563</v>
      </c>
      <c r="H159" t="s">
        <v>14</v>
      </c>
      <c r="I159" s="1">
        <v>45774</v>
      </c>
      <c r="J159" t="str">
        <f t="shared" si="8"/>
        <v>Millennials</v>
      </c>
      <c r="K159" t="str" cm="1">
        <f t="array" ref="K159">_xlfn.IFS(G159&lt;=50000,"Low",G159&lt;=100000,"Medium",G159&lt;=150000,"High",G159&gt;=150001,"Premium")</f>
        <v>Premium</v>
      </c>
      <c r="L159" s="3">
        <f t="shared" ca="1" si="9"/>
        <v>0</v>
      </c>
      <c r="M159" t="str">
        <f t="shared" ca="1" si="10"/>
        <v>0-1yr</v>
      </c>
      <c r="N159" s="3">
        <f t="shared" ca="1" si="11"/>
        <v>475</v>
      </c>
    </row>
    <row r="160" spans="1:14" x14ac:dyDescent="0.35">
      <c r="A160" t="s">
        <v>341</v>
      </c>
      <c r="B160" t="s">
        <v>342</v>
      </c>
      <c r="C160" t="s">
        <v>11</v>
      </c>
      <c r="D160">
        <v>27</v>
      </c>
      <c r="E160" t="s">
        <v>30</v>
      </c>
      <c r="F160" t="s">
        <v>37</v>
      </c>
      <c r="G160" s="2">
        <v>143797</v>
      </c>
      <c r="H160" t="s">
        <v>14</v>
      </c>
      <c r="I160" s="1">
        <v>43200</v>
      </c>
      <c r="J160" t="str">
        <f t="shared" si="8"/>
        <v>Gen Z</v>
      </c>
      <c r="K160" t="str" cm="1">
        <f t="array" ref="K160">_xlfn.IFS(G160&lt;=50000,"Low",G160&lt;=100000,"Medium",G160&lt;=150000,"High",G160&gt;=150001,"Premium")</f>
        <v>High</v>
      </c>
      <c r="L160" s="3">
        <f t="shared" ca="1" si="9"/>
        <v>7</v>
      </c>
      <c r="M160" t="str">
        <f t="shared" ca="1" si="10"/>
        <v>5yrs +</v>
      </c>
      <c r="N160" s="3">
        <f t="shared" ca="1" si="11"/>
        <v>118</v>
      </c>
    </row>
    <row r="161" spans="1:14" x14ac:dyDescent="0.35">
      <c r="A161" t="s">
        <v>343</v>
      </c>
      <c r="B161" t="s">
        <v>344</v>
      </c>
      <c r="C161" t="s">
        <v>17</v>
      </c>
      <c r="D161">
        <v>71</v>
      </c>
      <c r="E161" t="s">
        <v>12</v>
      </c>
      <c r="F161" t="s">
        <v>42</v>
      </c>
      <c r="G161" s="2">
        <v>83888</v>
      </c>
      <c r="H161" t="s">
        <v>14</v>
      </c>
      <c r="I161" s="1">
        <v>42314</v>
      </c>
      <c r="J161" t="str">
        <f t="shared" si="8"/>
        <v>Boomers</v>
      </c>
      <c r="K161" t="str" cm="1">
        <f t="array" ref="K161">_xlfn.IFS(G161&lt;=50000,"Low",G161&lt;=100000,"Medium",G161&lt;=150000,"High",G161&gt;=150001,"Premium")</f>
        <v>Medium</v>
      </c>
      <c r="L161" s="3">
        <f t="shared" ca="1" si="9"/>
        <v>10</v>
      </c>
      <c r="M161" t="str">
        <f t="shared" ca="1" si="10"/>
        <v>5yrs +</v>
      </c>
      <c r="N161" s="3">
        <f t="shared" ca="1" si="11"/>
        <v>1</v>
      </c>
    </row>
    <row r="162" spans="1:14" x14ac:dyDescent="0.35">
      <c r="A162" t="s">
        <v>345</v>
      </c>
      <c r="B162" t="s">
        <v>346</v>
      </c>
      <c r="C162" t="s">
        <v>11</v>
      </c>
      <c r="D162">
        <v>22</v>
      </c>
      <c r="E162" t="s">
        <v>18</v>
      </c>
      <c r="F162" t="s">
        <v>13</v>
      </c>
      <c r="G162" s="2">
        <v>93609</v>
      </c>
      <c r="H162" t="s">
        <v>14</v>
      </c>
      <c r="I162" s="1">
        <v>44252</v>
      </c>
      <c r="J162" t="str">
        <f t="shared" si="8"/>
        <v>Gen Z</v>
      </c>
      <c r="K162" t="str" cm="1">
        <f t="array" ref="K162">_xlfn.IFS(G162&lt;=50000,"Low",G162&lt;=100000,"Medium",G162&lt;=150000,"High",G162&gt;=150001,"Premium")</f>
        <v>Medium</v>
      </c>
      <c r="L162" s="3">
        <f t="shared" ca="1" si="9"/>
        <v>4</v>
      </c>
      <c r="M162" t="str">
        <f t="shared" ca="1" si="10"/>
        <v>3-5yrs</v>
      </c>
      <c r="N162" s="3">
        <f t="shared" ca="1" si="11"/>
        <v>273</v>
      </c>
    </row>
    <row r="163" spans="1:14" x14ac:dyDescent="0.35">
      <c r="A163" t="s">
        <v>347</v>
      </c>
      <c r="B163" t="s">
        <v>348</v>
      </c>
      <c r="C163" t="s">
        <v>11</v>
      </c>
      <c r="D163">
        <v>53</v>
      </c>
      <c r="E163" t="s">
        <v>12</v>
      </c>
      <c r="F163" t="s">
        <v>42</v>
      </c>
      <c r="G163" s="2">
        <v>29077</v>
      </c>
      <c r="H163" t="s">
        <v>20</v>
      </c>
      <c r="I163" s="1">
        <v>42248</v>
      </c>
      <c r="J163" t="str">
        <f t="shared" si="8"/>
        <v>Gen X</v>
      </c>
      <c r="K163" t="str" cm="1">
        <f t="array" ref="K163">_xlfn.IFS(G163&lt;=50000,"Low",G163&lt;=100000,"Medium",G163&lt;=150000,"High",G163&gt;=150001,"Premium")</f>
        <v>Low</v>
      </c>
      <c r="L163" s="3">
        <f t="shared" ca="1" si="9"/>
        <v>10</v>
      </c>
      <c r="M163" t="str">
        <f t="shared" ca="1" si="10"/>
        <v>5yrs +</v>
      </c>
      <c r="N163" s="3">
        <f t="shared" ca="1" si="11"/>
        <v>1</v>
      </c>
    </row>
    <row r="164" spans="1:14" x14ac:dyDescent="0.35">
      <c r="A164" t="s">
        <v>349</v>
      </c>
      <c r="B164" t="s">
        <v>350</v>
      </c>
      <c r="C164" t="s">
        <v>17</v>
      </c>
      <c r="D164">
        <v>51</v>
      </c>
      <c r="E164" t="s">
        <v>30</v>
      </c>
      <c r="F164" t="s">
        <v>13</v>
      </c>
      <c r="G164" s="2">
        <v>40953</v>
      </c>
      <c r="H164" t="s">
        <v>14</v>
      </c>
      <c r="I164" s="1">
        <v>44789</v>
      </c>
      <c r="J164" t="str">
        <f t="shared" si="8"/>
        <v>Gen X</v>
      </c>
      <c r="K164" t="str" cm="1">
        <f t="array" ref="K164">_xlfn.IFS(G164&lt;=50000,"Low",G164&lt;=100000,"Medium",G164&lt;=150000,"High",G164&gt;=150001,"Premium")</f>
        <v>Low</v>
      </c>
      <c r="L164" s="3">
        <f t="shared" ca="1" si="9"/>
        <v>3</v>
      </c>
      <c r="M164" t="str">
        <f t="shared" ca="1" si="10"/>
        <v>3-5yrs</v>
      </c>
      <c r="N164" s="3">
        <f t="shared" ca="1" si="11"/>
        <v>319</v>
      </c>
    </row>
    <row r="165" spans="1:14" x14ac:dyDescent="0.35">
      <c r="A165" t="s">
        <v>351</v>
      </c>
      <c r="B165" t="s">
        <v>352</v>
      </c>
      <c r="C165" t="s">
        <v>17</v>
      </c>
      <c r="D165">
        <v>69</v>
      </c>
      <c r="E165" t="s">
        <v>18</v>
      </c>
      <c r="F165" t="s">
        <v>42</v>
      </c>
      <c r="G165" s="2">
        <v>134682</v>
      </c>
      <c r="H165" t="s">
        <v>14</v>
      </c>
      <c r="I165" s="1">
        <v>44257</v>
      </c>
      <c r="J165" t="str">
        <f t="shared" si="8"/>
        <v>Boomers</v>
      </c>
      <c r="K165" t="str" cm="1">
        <f t="array" ref="K165">_xlfn.IFS(G165&lt;=50000,"Low",G165&lt;=100000,"Medium",G165&lt;=150000,"High",G165&gt;=150001,"Premium")</f>
        <v>High</v>
      </c>
      <c r="L165" s="3">
        <f t="shared" ca="1" si="9"/>
        <v>4</v>
      </c>
      <c r="M165" t="str">
        <f t="shared" ca="1" si="10"/>
        <v>3-5yrs</v>
      </c>
      <c r="N165" s="3">
        <f t="shared" ca="1" si="11"/>
        <v>273</v>
      </c>
    </row>
    <row r="166" spans="1:14" x14ac:dyDescent="0.35">
      <c r="A166" t="s">
        <v>353</v>
      </c>
      <c r="B166" t="s">
        <v>354</v>
      </c>
      <c r="C166" t="s">
        <v>17</v>
      </c>
      <c r="D166">
        <v>48</v>
      </c>
      <c r="E166" t="s">
        <v>18</v>
      </c>
      <c r="F166" t="s">
        <v>27</v>
      </c>
      <c r="G166" s="2">
        <v>87889</v>
      </c>
      <c r="H166" t="s">
        <v>14</v>
      </c>
      <c r="I166" s="1">
        <v>45172</v>
      </c>
      <c r="J166" t="str">
        <f t="shared" si="8"/>
        <v>Gen X</v>
      </c>
      <c r="K166" t="str" cm="1">
        <f t="array" ref="K166">_xlfn.IFS(G166&lt;=50000,"Low",G166&lt;=100000,"Medium",G166&lt;=150000,"High",G166&gt;=150001,"Premium")</f>
        <v>Medium</v>
      </c>
      <c r="L166" s="3">
        <f t="shared" ca="1" si="9"/>
        <v>2</v>
      </c>
      <c r="M166" t="str">
        <f t="shared" ca="1" si="10"/>
        <v>1-3yrs</v>
      </c>
      <c r="N166" s="3">
        <f t="shared" ca="1" si="11"/>
        <v>367</v>
      </c>
    </row>
    <row r="167" spans="1:14" x14ac:dyDescent="0.35">
      <c r="A167" t="s">
        <v>355</v>
      </c>
      <c r="B167" t="s">
        <v>356</v>
      </c>
      <c r="C167" t="s">
        <v>11</v>
      </c>
      <c r="D167">
        <v>27</v>
      </c>
      <c r="E167" t="s">
        <v>18</v>
      </c>
      <c r="F167" t="s">
        <v>31</v>
      </c>
      <c r="G167" s="2">
        <v>174893</v>
      </c>
      <c r="H167" t="s">
        <v>14</v>
      </c>
      <c r="I167" s="1">
        <v>42431</v>
      </c>
      <c r="J167" t="str">
        <f t="shared" si="8"/>
        <v>Gen Z</v>
      </c>
      <c r="K167" t="str" cm="1">
        <f t="array" ref="K167">_xlfn.IFS(G167&lt;=50000,"Low",G167&lt;=100000,"Medium",G167&lt;=150000,"High",G167&gt;=150001,"Premium")</f>
        <v>Premium</v>
      </c>
      <c r="L167" s="3">
        <f t="shared" ca="1" si="9"/>
        <v>9</v>
      </c>
      <c r="M167" t="str">
        <f t="shared" ca="1" si="10"/>
        <v>5yrs +</v>
      </c>
      <c r="N167" s="3">
        <f t="shared" ca="1" si="11"/>
        <v>17</v>
      </c>
    </row>
    <row r="168" spans="1:14" x14ac:dyDescent="0.35">
      <c r="A168" t="s">
        <v>357</v>
      </c>
      <c r="B168" t="s">
        <v>358</v>
      </c>
      <c r="C168" t="s">
        <v>17</v>
      </c>
      <c r="D168">
        <v>36</v>
      </c>
      <c r="E168" t="s">
        <v>30</v>
      </c>
      <c r="F168" t="s">
        <v>37</v>
      </c>
      <c r="G168" s="2">
        <v>188639</v>
      </c>
      <c r="H168" t="s">
        <v>14</v>
      </c>
      <c r="I168" s="1">
        <v>45492</v>
      </c>
      <c r="J168" t="str">
        <f t="shared" si="8"/>
        <v>Millennials</v>
      </c>
      <c r="K168" t="str" cm="1">
        <f t="array" ref="K168">_xlfn.IFS(G168&lt;=50000,"Low",G168&lt;=100000,"Medium",G168&lt;=150000,"High",G168&gt;=150001,"Premium")</f>
        <v>Premium</v>
      </c>
      <c r="L168" s="3">
        <f t="shared" ca="1" si="9"/>
        <v>1</v>
      </c>
      <c r="M168" t="str">
        <f t="shared" ca="1" si="10"/>
        <v>1-3yrs</v>
      </c>
      <c r="N168" s="3">
        <f t="shared" ca="1" si="11"/>
        <v>422</v>
      </c>
    </row>
    <row r="169" spans="1:14" x14ac:dyDescent="0.35">
      <c r="A169" t="s">
        <v>359</v>
      </c>
      <c r="B169" t="s">
        <v>360</v>
      </c>
      <c r="C169" t="s">
        <v>11</v>
      </c>
      <c r="D169">
        <v>49</v>
      </c>
      <c r="E169" t="s">
        <v>34</v>
      </c>
      <c r="F169" t="s">
        <v>42</v>
      </c>
      <c r="G169" s="2">
        <v>135374</v>
      </c>
      <c r="H169" t="s">
        <v>14</v>
      </c>
      <c r="I169" s="1">
        <v>43786</v>
      </c>
      <c r="J169" t="str">
        <f t="shared" si="8"/>
        <v>Gen X</v>
      </c>
      <c r="K169" t="str" cm="1">
        <f t="array" ref="K169">_xlfn.IFS(G169&lt;=50000,"Low",G169&lt;=100000,"Medium",G169&lt;=150000,"High",G169&gt;=150001,"Premium")</f>
        <v>High</v>
      </c>
      <c r="L169" s="3">
        <f t="shared" ca="1" si="9"/>
        <v>6</v>
      </c>
      <c r="M169" t="str">
        <f t="shared" ca="1" si="10"/>
        <v>5yrs +</v>
      </c>
      <c r="N169" s="3">
        <f t="shared" ca="1" si="11"/>
        <v>169</v>
      </c>
    </row>
    <row r="170" spans="1:14" x14ac:dyDescent="0.35">
      <c r="A170" t="s">
        <v>361</v>
      </c>
      <c r="B170" t="s">
        <v>362</v>
      </c>
      <c r="C170" t="s">
        <v>11</v>
      </c>
      <c r="D170">
        <v>18</v>
      </c>
      <c r="E170" t="s">
        <v>34</v>
      </c>
      <c r="F170" t="s">
        <v>27</v>
      </c>
      <c r="G170" s="2">
        <v>44860</v>
      </c>
      <c r="H170" t="s">
        <v>14</v>
      </c>
      <c r="I170" s="1">
        <v>45714</v>
      </c>
      <c r="J170" t="str">
        <f t="shared" si="8"/>
        <v>Gen Z</v>
      </c>
      <c r="K170" t="str" cm="1">
        <f t="array" ref="K170">_xlfn.IFS(G170&lt;=50000,"Low",G170&lt;=100000,"Medium",G170&lt;=150000,"High",G170&gt;=150001,"Premium")</f>
        <v>Low</v>
      </c>
      <c r="L170" s="3">
        <f t="shared" ca="1" si="9"/>
        <v>0</v>
      </c>
      <c r="M170" t="str">
        <f t="shared" ca="1" si="10"/>
        <v>0-1yr</v>
      </c>
      <c r="N170" s="3">
        <f t="shared" ca="1" si="11"/>
        <v>475</v>
      </c>
    </row>
    <row r="171" spans="1:14" x14ac:dyDescent="0.35">
      <c r="A171" t="s">
        <v>363</v>
      </c>
      <c r="B171" t="s">
        <v>364</v>
      </c>
      <c r="C171" t="s">
        <v>17</v>
      </c>
      <c r="D171">
        <v>73</v>
      </c>
      <c r="E171" t="s">
        <v>34</v>
      </c>
      <c r="F171" t="s">
        <v>13</v>
      </c>
      <c r="G171" s="2">
        <v>172267</v>
      </c>
      <c r="H171" t="s">
        <v>20</v>
      </c>
      <c r="I171" s="1">
        <v>44887</v>
      </c>
      <c r="J171" t="str">
        <f t="shared" si="8"/>
        <v>Boomers</v>
      </c>
      <c r="K171" t="str" cm="1">
        <f t="array" ref="K171">_xlfn.IFS(G171&lt;=50000,"Low",G171&lt;=100000,"Medium",G171&lt;=150000,"High",G171&gt;=150001,"Premium")</f>
        <v>Premium</v>
      </c>
      <c r="L171" s="3">
        <f t="shared" ca="1" si="9"/>
        <v>3</v>
      </c>
      <c r="M171" t="str">
        <f t="shared" ca="1" si="10"/>
        <v>3-5yrs</v>
      </c>
      <c r="N171" s="3">
        <f t="shared" ca="1" si="11"/>
        <v>319</v>
      </c>
    </row>
    <row r="172" spans="1:14" x14ac:dyDescent="0.35">
      <c r="A172" t="s">
        <v>365</v>
      </c>
      <c r="B172" t="s">
        <v>366</v>
      </c>
      <c r="C172" t="s">
        <v>17</v>
      </c>
      <c r="D172">
        <v>22</v>
      </c>
      <c r="E172" t="s">
        <v>30</v>
      </c>
      <c r="F172" t="s">
        <v>13</v>
      </c>
      <c r="G172" s="2">
        <v>97475</v>
      </c>
      <c r="H172" t="s">
        <v>14</v>
      </c>
      <c r="I172" s="1">
        <v>42532</v>
      </c>
      <c r="J172" t="str">
        <f t="shared" si="8"/>
        <v>Gen Z</v>
      </c>
      <c r="K172" t="str" cm="1">
        <f t="array" ref="K172">_xlfn.IFS(G172&lt;=50000,"Low",G172&lt;=100000,"Medium",G172&lt;=150000,"High",G172&gt;=150001,"Premium")</f>
        <v>Medium</v>
      </c>
      <c r="L172" s="3">
        <f t="shared" ca="1" si="9"/>
        <v>9</v>
      </c>
      <c r="M172" t="str">
        <f t="shared" ca="1" si="10"/>
        <v>5yrs +</v>
      </c>
      <c r="N172" s="3">
        <f t="shared" ca="1" si="11"/>
        <v>17</v>
      </c>
    </row>
    <row r="173" spans="1:14" x14ac:dyDescent="0.35">
      <c r="A173" t="s">
        <v>367</v>
      </c>
      <c r="B173" t="s">
        <v>368</v>
      </c>
      <c r="C173" t="s">
        <v>11</v>
      </c>
      <c r="D173">
        <v>62</v>
      </c>
      <c r="E173" t="s">
        <v>18</v>
      </c>
      <c r="F173" t="s">
        <v>37</v>
      </c>
      <c r="G173" s="2">
        <v>107266</v>
      </c>
      <c r="H173" t="s">
        <v>14</v>
      </c>
      <c r="I173" s="1">
        <v>43988</v>
      </c>
      <c r="J173" t="str">
        <f t="shared" si="8"/>
        <v>Boomers</v>
      </c>
      <c r="K173" t="str" cm="1">
        <f t="array" ref="K173">_xlfn.IFS(G173&lt;=50000,"Low",G173&lt;=100000,"Medium",G173&lt;=150000,"High",G173&gt;=150001,"Premium")</f>
        <v>High</v>
      </c>
      <c r="L173" s="3">
        <f t="shared" ca="1" si="9"/>
        <v>5</v>
      </c>
      <c r="M173" t="str">
        <f t="shared" ca="1" si="10"/>
        <v>5yrs +</v>
      </c>
      <c r="N173" s="3">
        <f t="shared" ca="1" si="11"/>
        <v>227</v>
      </c>
    </row>
    <row r="174" spans="1:14" x14ac:dyDescent="0.35">
      <c r="A174" t="s">
        <v>369</v>
      </c>
      <c r="B174" t="s">
        <v>370</v>
      </c>
      <c r="C174" t="s">
        <v>11</v>
      </c>
      <c r="D174">
        <v>21</v>
      </c>
      <c r="E174" t="s">
        <v>34</v>
      </c>
      <c r="F174" t="s">
        <v>19</v>
      </c>
      <c r="G174" s="2">
        <v>172499</v>
      </c>
      <c r="H174" t="s">
        <v>20</v>
      </c>
      <c r="I174" s="1">
        <v>44501</v>
      </c>
      <c r="J174" t="str">
        <f t="shared" si="8"/>
        <v>Gen Z</v>
      </c>
      <c r="K174" t="str" cm="1">
        <f t="array" ref="K174">_xlfn.IFS(G174&lt;=50000,"Low",G174&lt;=100000,"Medium",G174&lt;=150000,"High",G174&gt;=150001,"Premium")</f>
        <v>Premium</v>
      </c>
      <c r="L174" s="3">
        <f t="shared" ca="1" si="9"/>
        <v>4</v>
      </c>
      <c r="M174" t="str">
        <f t="shared" ca="1" si="10"/>
        <v>3-5yrs</v>
      </c>
      <c r="N174" s="3">
        <f t="shared" ca="1" si="11"/>
        <v>273</v>
      </c>
    </row>
    <row r="175" spans="1:14" x14ac:dyDescent="0.35">
      <c r="A175" t="s">
        <v>371</v>
      </c>
      <c r="B175" t="s">
        <v>372</v>
      </c>
      <c r="C175" t="s">
        <v>17</v>
      </c>
      <c r="D175">
        <v>33</v>
      </c>
      <c r="E175" t="s">
        <v>30</v>
      </c>
      <c r="F175" t="s">
        <v>42</v>
      </c>
      <c r="G175" s="2">
        <v>120732</v>
      </c>
      <c r="H175" t="s">
        <v>20</v>
      </c>
      <c r="I175" s="1">
        <v>43767</v>
      </c>
      <c r="J175" t="str">
        <f t="shared" si="8"/>
        <v>Millennials</v>
      </c>
      <c r="K175" t="str" cm="1">
        <f t="array" ref="K175">_xlfn.IFS(G175&lt;=50000,"Low",G175&lt;=100000,"Medium",G175&lt;=150000,"High",G175&gt;=150001,"Premium")</f>
        <v>High</v>
      </c>
      <c r="L175" s="3">
        <f t="shared" ca="1" si="9"/>
        <v>6</v>
      </c>
      <c r="M175" t="str">
        <f t="shared" ca="1" si="10"/>
        <v>5yrs +</v>
      </c>
      <c r="N175" s="3">
        <f t="shared" ca="1" si="11"/>
        <v>169</v>
      </c>
    </row>
    <row r="176" spans="1:14" x14ac:dyDescent="0.35">
      <c r="A176" t="s">
        <v>373</v>
      </c>
      <c r="B176" t="s">
        <v>374</v>
      </c>
      <c r="C176" t="s">
        <v>17</v>
      </c>
      <c r="D176">
        <v>41</v>
      </c>
      <c r="E176" t="s">
        <v>34</v>
      </c>
      <c r="F176" t="s">
        <v>23</v>
      </c>
      <c r="G176" s="2">
        <v>47083</v>
      </c>
      <c r="H176" t="s">
        <v>14</v>
      </c>
      <c r="I176" s="1">
        <v>43046</v>
      </c>
      <c r="J176" t="str">
        <f t="shared" si="8"/>
        <v>Millennials</v>
      </c>
      <c r="K176" t="str" cm="1">
        <f t="array" ref="K176">_xlfn.IFS(G176&lt;=50000,"Low",G176&lt;=100000,"Medium",G176&lt;=150000,"High",G176&gt;=150001,"Premium")</f>
        <v>Low</v>
      </c>
      <c r="L176" s="3">
        <f t="shared" ca="1" si="9"/>
        <v>8</v>
      </c>
      <c r="M176" t="str">
        <f t="shared" ca="1" si="10"/>
        <v>5yrs +</v>
      </c>
      <c r="N176" s="3">
        <f t="shared" ca="1" si="11"/>
        <v>59</v>
      </c>
    </row>
    <row r="177" spans="1:14" x14ac:dyDescent="0.35">
      <c r="A177" t="s">
        <v>375</v>
      </c>
      <c r="B177" t="s">
        <v>376</v>
      </c>
      <c r="C177" t="s">
        <v>17</v>
      </c>
      <c r="D177">
        <v>33</v>
      </c>
      <c r="E177" t="s">
        <v>12</v>
      </c>
      <c r="F177" t="s">
        <v>13</v>
      </c>
      <c r="G177" s="2">
        <v>77372</v>
      </c>
      <c r="H177" t="s">
        <v>14</v>
      </c>
      <c r="I177" s="1">
        <v>42292</v>
      </c>
      <c r="J177" t="str">
        <f t="shared" si="8"/>
        <v>Millennials</v>
      </c>
      <c r="K177" t="str" cm="1">
        <f t="array" ref="K177">_xlfn.IFS(G177&lt;=50000,"Low",G177&lt;=100000,"Medium",G177&lt;=150000,"High",G177&gt;=150001,"Premium")</f>
        <v>Medium</v>
      </c>
      <c r="L177" s="3">
        <f t="shared" ca="1" si="9"/>
        <v>10</v>
      </c>
      <c r="M177" t="str">
        <f t="shared" ca="1" si="10"/>
        <v>5yrs +</v>
      </c>
      <c r="N177" s="3">
        <f t="shared" ca="1" si="11"/>
        <v>1</v>
      </c>
    </row>
    <row r="178" spans="1:14" x14ac:dyDescent="0.35">
      <c r="A178" t="s">
        <v>377</v>
      </c>
      <c r="B178" t="s">
        <v>378</v>
      </c>
      <c r="C178" t="s">
        <v>11</v>
      </c>
      <c r="D178">
        <v>72</v>
      </c>
      <c r="E178" t="s">
        <v>34</v>
      </c>
      <c r="F178" t="s">
        <v>31</v>
      </c>
      <c r="G178" s="2">
        <v>143786</v>
      </c>
      <c r="H178" t="s">
        <v>14</v>
      </c>
      <c r="I178" s="1">
        <v>45538</v>
      </c>
      <c r="J178" t="str">
        <f t="shared" si="8"/>
        <v>Boomers</v>
      </c>
      <c r="K178" t="str" cm="1">
        <f t="array" ref="K178">_xlfn.IFS(G178&lt;=50000,"Low",G178&lt;=100000,"Medium",G178&lt;=150000,"High",G178&gt;=150001,"Premium")</f>
        <v>High</v>
      </c>
      <c r="L178" s="3">
        <f t="shared" ca="1" si="9"/>
        <v>1</v>
      </c>
      <c r="M178" t="str">
        <f t="shared" ca="1" si="10"/>
        <v>1-3yrs</v>
      </c>
      <c r="N178" s="3">
        <f t="shared" ca="1" si="11"/>
        <v>422</v>
      </c>
    </row>
    <row r="179" spans="1:14" x14ac:dyDescent="0.35">
      <c r="A179" t="s">
        <v>379</v>
      </c>
      <c r="B179" t="s">
        <v>380</v>
      </c>
      <c r="C179" t="s">
        <v>11</v>
      </c>
      <c r="D179">
        <v>19</v>
      </c>
      <c r="E179" t="s">
        <v>34</v>
      </c>
      <c r="F179" t="s">
        <v>31</v>
      </c>
      <c r="G179" s="2">
        <v>195136</v>
      </c>
      <c r="H179" t="s">
        <v>20</v>
      </c>
      <c r="I179" s="1">
        <v>45642</v>
      </c>
      <c r="J179" t="str">
        <f t="shared" si="8"/>
        <v>Gen Z</v>
      </c>
      <c r="K179" t="str" cm="1">
        <f t="array" ref="K179">_xlfn.IFS(G179&lt;=50000,"Low",G179&lt;=100000,"Medium",G179&lt;=150000,"High",G179&gt;=150001,"Premium")</f>
        <v>Premium</v>
      </c>
      <c r="L179" s="3">
        <f t="shared" ca="1" si="9"/>
        <v>0</v>
      </c>
      <c r="M179" t="str">
        <f t="shared" ca="1" si="10"/>
        <v>0-1yr</v>
      </c>
      <c r="N179" s="3">
        <f t="shared" ca="1" si="11"/>
        <v>475</v>
      </c>
    </row>
    <row r="180" spans="1:14" x14ac:dyDescent="0.35">
      <c r="A180" t="s">
        <v>381</v>
      </c>
      <c r="B180" t="s">
        <v>382</v>
      </c>
      <c r="C180" t="s">
        <v>11</v>
      </c>
      <c r="D180">
        <v>66</v>
      </c>
      <c r="E180" t="s">
        <v>18</v>
      </c>
      <c r="F180" t="s">
        <v>13</v>
      </c>
      <c r="G180" s="2">
        <v>27813</v>
      </c>
      <c r="H180" t="s">
        <v>24</v>
      </c>
      <c r="I180" s="1">
        <v>42803</v>
      </c>
      <c r="J180" t="str">
        <f t="shared" si="8"/>
        <v>Boomers</v>
      </c>
      <c r="K180" t="str" cm="1">
        <f t="array" ref="K180">_xlfn.IFS(G180&lt;=50000,"Low",G180&lt;=100000,"Medium",G180&lt;=150000,"High",G180&gt;=150001,"Premium")</f>
        <v>Low</v>
      </c>
      <c r="L180" s="3">
        <f t="shared" ca="1" si="9"/>
        <v>8</v>
      </c>
      <c r="M180" t="str">
        <f t="shared" ca="1" si="10"/>
        <v>5yrs +</v>
      </c>
      <c r="N180" s="3">
        <f t="shared" ca="1" si="11"/>
        <v>59</v>
      </c>
    </row>
    <row r="181" spans="1:14" x14ac:dyDescent="0.35">
      <c r="A181" t="s">
        <v>383</v>
      </c>
      <c r="B181" t="s">
        <v>384</v>
      </c>
      <c r="C181" t="s">
        <v>11</v>
      </c>
      <c r="D181">
        <v>45</v>
      </c>
      <c r="E181" t="s">
        <v>30</v>
      </c>
      <c r="F181" t="s">
        <v>19</v>
      </c>
      <c r="G181" s="2">
        <v>51598</v>
      </c>
      <c r="H181" t="s">
        <v>20</v>
      </c>
      <c r="I181" s="1">
        <v>45704</v>
      </c>
      <c r="J181" t="str">
        <f t="shared" si="8"/>
        <v>Gen X</v>
      </c>
      <c r="K181" t="str" cm="1">
        <f t="array" ref="K181">_xlfn.IFS(G181&lt;=50000,"Low",G181&lt;=100000,"Medium",G181&lt;=150000,"High",G181&gt;=150001,"Premium")</f>
        <v>Medium</v>
      </c>
      <c r="L181" s="3">
        <f t="shared" ca="1" si="9"/>
        <v>0</v>
      </c>
      <c r="M181" t="str">
        <f t="shared" ca="1" si="10"/>
        <v>0-1yr</v>
      </c>
      <c r="N181" s="3">
        <f t="shared" ca="1" si="11"/>
        <v>475</v>
      </c>
    </row>
    <row r="182" spans="1:14" x14ac:dyDescent="0.35">
      <c r="A182" t="s">
        <v>385</v>
      </c>
      <c r="B182" t="s">
        <v>386</v>
      </c>
      <c r="C182" t="s">
        <v>11</v>
      </c>
      <c r="D182">
        <v>49</v>
      </c>
      <c r="E182" t="s">
        <v>18</v>
      </c>
      <c r="F182" t="s">
        <v>19</v>
      </c>
      <c r="G182" s="2">
        <v>113106</v>
      </c>
      <c r="H182" t="s">
        <v>14</v>
      </c>
      <c r="I182" s="1">
        <v>42387</v>
      </c>
      <c r="J182" t="str">
        <f t="shared" si="8"/>
        <v>Gen X</v>
      </c>
      <c r="K182" t="str" cm="1">
        <f t="array" ref="K182">_xlfn.IFS(G182&lt;=50000,"Low",G182&lt;=100000,"Medium",G182&lt;=150000,"High",G182&gt;=150001,"Premium")</f>
        <v>High</v>
      </c>
      <c r="L182" s="3">
        <f t="shared" ca="1" si="9"/>
        <v>9</v>
      </c>
      <c r="M182" t="str">
        <f t="shared" ca="1" si="10"/>
        <v>5yrs +</v>
      </c>
      <c r="N182" s="3">
        <f t="shared" ca="1" si="11"/>
        <v>17</v>
      </c>
    </row>
    <row r="183" spans="1:14" x14ac:dyDescent="0.35">
      <c r="A183" t="s">
        <v>387</v>
      </c>
      <c r="B183" t="s">
        <v>388</v>
      </c>
      <c r="C183" t="s">
        <v>11</v>
      </c>
      <c r="D183">
        <v>44</v>
      </c>
      <c r="E183" t="s">
        <v>18</v>
      </c>
      <c r="F183" t="s">
        <v>27</v>
      </c>
      <c r="G183" s="2">
        <v>47082</v>
      </c>
      <c r="H183" t="s">
        <v>20</v>
      </c>
      <c r="I183" s="1">
        <v>45843</v>
      </c>
      <c r="J183" t="str">
        <f t="shared" si="8"/>
        <v>Millennials</v>
      </c>
      <c r="K183" t="str" cm="1">
        <f t="array" ref="K183">_xlfn.IFS(G183&lt;=50000,"Low",G183&lt;=100000,"Medium",G183&lt;=150000,"High",G183&gt;=150001,"Premium")</f>
        <v>Low</v>
      </c>
      <c r="L183" s="3">
        <f t="shared" ca="1" si="9"/>
        <v>0</v>
      </c>
      <c r="M183" t="str">
        <f t="shared" ca="1" si="10"/>
        <v>0-1yr</v>
      </c>
      <c r="N183" s="3">
        <f t="shared" ca="1" si="11"/>
        <v>475</v>
      </c>
    </row>
    <row r="184" spans="1:14" x14ac:dyDescent="0.35">
      <c r="A184" t="s">
        <v>389</v>
      </c>
      <c r="B184" t="s">
        <v>390</v>
      </c>
      <c r="C184" t="s">
        <v>17</v>
      </c>
      <c r="D184">
        <v>37</v>
      </c>
      <c r="E184" t="s">
        <v>18</v>
      </c>
      <c r="F184" t="s">
        <v>31</v>
      </c>
      <c r="G184" s="2">
        <v>49241</v>
      </c>
      <c r="H184" t="s">
        <v>14</v>
      </c>
      <c r="I184" s="1">
        <v>43202</v>
      </c>
      <c r="J184" t="str">
        <f t="shared" si="8"/>
        <v>Millennials</v>
      </c>
      <c r="K184" t="str" cm="1">
        <f t="array" ref="K184">_xlfn.IFS(G184&lt;=50000,"Low",G184&lt;=100000,"Medium",G184&lt;=150000,"High",G184&gt;=150001,"Premium")</f>
        <v>Low</v>
      </c>
      <c r="L184" s="3">
        <f t="shared" ca="1" si="9"/>
        <v>7</v>
      </c>
      <c r="M184" t="str">
        <f t="shared" ca="1" si="10"/>
        <v>5yrs +</v>
      </c>
      <c r="N184" s="3">
        <f t="shared" ca="1" si="11"/>
        <v>118</v>
      </c>
    </row>
    <row r="185" spans="1:14" x14ac:dyDescent="0.35">
      <c r="A185" t="s">
        <v>391</v>
      </c>
      <c r="B185" t="s">
        <v>392</v>
      </c>
      <c r="C185" t="s">
        <v>11</v>
      </c>
      <c r="D185">
        <v>41</v>
      </c>
      <c r="E185" t="s">
        <v>18</v>
      </c>
      <c r="F185" t="s">
        <v>27</v>
      </c>
      <c r="G185" s="2">
        <v>195641</v>
      </c>
      <c r="H185" t="s">
        <v>14</v>
      </c>
      <c r="I185" s="1">
        <v>44775</v>
      </c>
      <c r="J185" t="str">
        <f t="shared" si="8"/>
        <v>Millennials</v>
      </c>
      <c r="K185" t="str" cm="1">
        <f t="array" ref="K185">_xlfn.IFS(G185&lt;=50000,"Low",G185&lt;=100000,"Medium",G185&lt;=150000,"High",G185&gt;=150001,"Premium")</f>
        <v>Premium</v>
      </c>
      <c r="L185" s="3">
        <f t="shared" ca="1" si="9"/>
        <v>3</v>
      </c>
      <c r="M185" t="str">
        <f t="shared" ca="1" si="10"/>
        <v>3-5yrs</v>
      </c>
      <c r="N185" s="3">
        <f t="shared" ca="1" si="11"/>
        <v>319</v>
      </c>
    </row>
    <row r="186" spans="1:14" x14ac:dyDescent="0.35">
      <c r="A186" t="s">
        <v>393</v>
      </c>
      <c r="B186" t="s">
        <v>394</v>
      </c>
      <c r="C186" t="s">
        <v>11</v>
      </c>
      <c r="D186">
        <v>29</v>
      </c>
      <c r="E186" t="s">
        <v>18</v>
      </c>
      <c r="F186" t="s">
        <v>31</v>
      </c>
      <c r="G186" s="2">
        <v>31745</v>
      </c>
      <c r="H186" t="s">
        <v>14</v>
      </c>
      <c r="I186" s="1">
        <v>45422</v>
      </c>
      <c r="J186" t="str">
        <f t="shared" si="8"/>
        <v>Millennials</v>
      </c>
      <c r="K186" t="str" cm="1">
        <f t="array" ref="K186">_xlfn.IFS(G186&lt;=50000,"Low",G186&lt;=100000,"Medium",G186&lt;=150000,"High",G186&gt;=150001,"Premium")</f>
        <v>Low</v>
      </c>
      <c r="L186" s="3">
        <f t="shared" ca="1" si="9"/>
        <v>1</v>
      </c>
      <c r="M186" t="str">
        <f t="shared" ca="1" si="10"/>
        <v>1-3yrs</v>
      </c>
      <c r="N186" s="3">
        <f t="shared" ca="1" si="11"/>
        <v>422</v>
      </c>
    </row>
    <row r="187" spans="1:14" x14ac:dyDescent="0.35">
      <c r="A187" t="s">
        <v>395</v>
      </c>
      <c r="B187" t="s">
        <v>396</v>
      </c>
      <c r="C187" t="s">
        <v>11</v>
      </c>
      <c r="D187">
        <v>67</v>
      </c>
      <c r="E187" t="s">
        <v>34</v>
      </c>
      <c r="F187" t="s">
        <v>42</v>
      </c>
      <c r="G187" s="2">
        <v>46029</v>
      </c>
      <c r="H187" t="s">
        <v>24</v>
      </c>
      <c r="I187" s="1">
        <v>42881</v>
      </c>
      <c r="J187" t="str">
        <f t="shared" si="8"/>
        <v>Boomers</v>
      </c>
      <c r="K187" t="str" cm="1">
        <f t="array" ref="K187">_xlfn.IFS(G187&lt;=50000,"Low",G187&lt;=100000,"Medium",G187&lt;=150000,"High",G187&gt;=150001,"Premium")</f>
        <v>Low</v>
      </c>
      <c r="L187" s="3">
        <f t="shared" ca="1" si="9"/>
        <v>8</v>
      </c>
      <c r="M187" t="str">
        <f t="shared" ca="1" si="10"/>
        <v>5yrs +</v>
      </c>
      <c r="N187" s="3">
        <f t="shared" ca="1" si="11"/>
        <v>59</v>
      </c>
    </row>
    <row r="188" spans="1:14" x14ac:dyDescent="0.35">
      <c r="A188" t="s">
        <v>397</v>
      </c>
      <c r="B188" t="s">
        <v>398</v>
      </c>
      <c r="C188" t="s">
        <v>17</v>
      </c>
      <c r="D188">
        <v>52</v>
      </c>
      <c r="E188" t="s">
        <v>18</v>
      </c>
      <c r="F188" t="s">
        <v>42</v>
      </c>
      <c r="G188" s="2">
        <v>164097</v>
      </c>
      <c r="H188" t="s">
        <v>14</v>
      </c>
      <c r="I188" s="1">
        <v>45101</v>
      </c>
      <c r="J188" t="str">
        <f t="shared" si="8"/>
        <v>Gen X</v>
      </c>
      <c r="K188" t="str" cm="1">
        <f t="array" ref="K188">_xlfn.IFS(G188&lt;=50000,"Low",G188&lt;=100000,"Medium",G188&lt;=150000,"High",G188&gt;=150001,"Premium")</f>
        <v>Premium</v>
      </c>
      <c r="L188" s="3">
        <f t="shared" ca="1" si="9"/>
        <v>2</v>
      </c>
      <c r="M188" t="str">
        <f t="shared" ca="1" si="10"/>
        <v>1-3yrs</v>
      </c>
      <c r="N188" s="3">
        <f t="shared" ca="1" si="11"/>
        <v>367</v>
      </c>
    </row>
    <row r="189" spans="1:14" x14ac:dyDescent="0.35">
      <c r="A189" t="s">
        <v>399</v>
      </c>
      <c r="B189" t="s">
        <v>400</v>
      </c>
      <c r="C189" t="s">
        <v>11</v>
      </c>
      <c r="D189">
        <v>50</v>
      </c>
      <c r="E189" t="s">
        <v>18</v>
      </c>
      <c r="F189" t="s">
        <v>23</v>
      </c>
      <c r="G189" s="2">
        <v>143395</v>
      </c>
      <c r="H189" t="s">
        <v>20</v>
      </c>
      <c r="I189" s="1">
        <v>45211</v>
      </c>
      <c r="J189" t="str">
        <f t="shared" si="8"/>
        <v>Gen X</v>
      </c>
      <c r="K189" t="str" cm="1">
        <f t="array" ref="K189">_xlfn.IFS(G189&lt;=50000,"Low",G189&lt;=100000,"Medium",G189&lt;=150000,"High",G189&gt;=150001,"Premium")</f>
        <v>High</v>
      </c>
      <c r="L189" s="3">
        <f t="shared" ca="1" si="9"/>
        <v>2</v>
      </c>
      <c r="M189" t="str">
        <f t="shared" ca="1" si="10"/>
        <v>1-3yrs</v>
      </c>
      <c r="N189" s="3">
        <f t="shared" ca="1" si="11"/>
        <v>367</v>
      </c>
    </row>
    <row r="190" spans="1:14" x14ac:dyDescent="0.35">
      <c r="A190" t="s">
        <v>401</v>
      </c>
      <c r="B190" t="s">
        <v>402</v>
      </c>
      <c r="C190" t="s">
        <v>11</v>
      </c>
      <c r="D190">
        <v>50</v>
      </c>
      <c r="E190" t="s">
        <v>30</v>
      </c>
      <c r="F190" t="s">
        <v>42</v>
      </c>
      <c r="G190" s="2">
        <v>165360</v>
      </c>
      <c r="H190" t="s">
        <v>14</v>
      </c>
      <c r="I190" s="1">
        <v>45535</v>
      </c>
      <c r="J190" t="str">
        <f t="shared" si="8"/>
        <v>Gen X</v>
      </c>
      <c r="K190" t="str" cm="1">
        <f t="array" ref="K190">_xlfn.IFS(G190&lt;=50000,"Low",G190&lt;=100000,"Medium",G190&lt;=150000,"High",G190&gt;=150001,"Premium")</f>
        <v>Premium</v>
      </c>
      <c r="L190" s="3">
        <f t="shared" ca="1" si="9"/>
        <v>1</v>
      </c>
      <c r="M190" t="str">
        <f t="shared" ca="1" si="10"/>
        <v>1-3yrs</v>
      </c>
      <c r="N190" s="3">
        <f t="shared" ca="1" si="11"/>
        <v>422</v>
      </c>
    </row>
    <row r="191" spans="1:14" x14ac:dyDescent="0.35">
      <c r="A191" t="s">
        <v>403</v>
      </c>
      <c r="B191" t="s">
        <v>404</v>
      </c>
      <c r="C191" t="s">
        <v>17</v>
      </c>
      <c r="D191">
        <v>68</v>
      </c>
      <c r="E191" t="s">
        <v>12</v>
      </c>
      <c r="F191" t="s">
        <v>23</v>
      </c>
      <c r="G191" s="2">
        <v>109186</v>
      </c>
      <c r="H191" t="s">
        <v>14</v>
      </c>
      <c r="I191" s="1">
        <v>43008</v>
      </c>
      <c r="J191" t="str">
        <f t="shared" si="8"/>
        <v>Boomers</v>
      </c>
      <c r="K191" t="str" cm="1">
        <f t="array" ref="K191">_xlfn.IFS(G191&lt;=50000,"Low",G191&lt;=100000,"Medium",G191&lt;=150000,"High",G191&gt;=150001,"Premium")</f>
        <v>High</v>
      </c>
      <c r="L191" s="3">
        <f t="shared" ca="1" si="9"/>
        <v>8</v>
      </c>
      <c r="M191" t="str">
        <f t="shared" ca="1" si="10"/>
        <v>5yrs +</v>
      </c>
      <c r="N191" s="3">
        <f t="shared" ca="1" si="11"/>
        <v>59</v>
      </c>
    </row>
    <row r="192" spans="1:14" x14ac:dyDescent="0.35">
      <c r="A192" t="s">
        <v>405</v>
      </c>
      <c r="B192" t="s">
        <v>406</v>
      </c>
      <c r="C192" t="s">
        <v>11</v>
      </c>
      <c r="D192">
        <v>60</v>
      </c>
      <c r="E192" t="s">
        <v>34</v>
      </c>
      <c r="F192" t="s">
        <v>42</v>
      </c>
      <c r="G192" s="2">
        <v>157612</v>
      </c>
      <c r="H192" t="s">
        <v>14</v>
      </c>
      <c r="I192" s="1">
        <v>43780</v>
      </c>
      <c r="J192" t="str">
        <f t="shared" si="8"/>
        <v>Gen X</v>
      </c>
      <c r="K192" t="str" cm="1">
        <f t="array" ref="K192">_xlfn.IFS(G192&lt;=50000,"Low",G192&lt;=100000,"Medium",G192&lt;=150000,"High",G192&gt;=150001,"Premium")</f>
        <v>Premium</v>
      </c>
      <c r="L192" s="3">
        <f t="shared" ca="1" si="9"/>
        <v>6</v>
      </c>
      <c r="M192" t="str">
        <f t="shared" ca="1" si="10"/>
        <v>5yrs +</v>
      </c>
      <c r="N192" s="3">
        <f t="shared" ca="1" si="11"/>
        <v>169</v>
      </c>
    </row>
    <row r="193" spans="1:14" x14ac:dyDescent="0.35">
      <c r="A193" t="s">
        <v>407</v>
      </c>
      <c r="B193" t="s">
        <v>408</v>
      </c>
      <c r="C193" t="s">
        <v>11</v>
      </c>
      <c r="D193">
        <v>54</v>
      </c>
      <c r="E193" t="s">
        <v>34</v>
      </c>
      <c r="F193" t="s">
        <v>37</v>
      </c>
      <c r="G193" s="2">
        <v>117768</v>
      </c>
      <c r="H193" t="s">
        <v>14</v>
      </c>
      <c r="I193" s="1">
        <v>45891</v>
      </c>
      <c r="J193" t="str">
        <f t="shared" si="8"/>
        <v>Gen X</v>
      </c>
      <c r="K193" t="str" cm="1">
        <f t="array" ref="K193">_xlfn.IFS(G193&lt;=50000,"Low",G193&lt;=100000,"Medium",G193&lt;=150000,"High",G193&gt;=150001,"Premium")</f>
        <v>High</v>
      </c>
      <c r="L193" s="3">
        <f t="shared" ca="1" si="9"/>
        <v>0</v>
      </c>
      <c r="M193" t="str">
        <f t="shared" ca="1" si="10"/>
        <v>0-1yr</v>
      </c>
      <c r="N193" s="3">
        <f t="shared" ca="1" si="11"/>
        <v>475</v>
      </c>
    </row>
    <row r="194" spans="1:14" x14ac:dyDescent="0.35">
      <c r="A194" t="s">
        <v>409</v>
      </c>
      <c r="B194" t="s">
        <v>410</v>
      </c>
      <c r="C194" t="s">
        <v>11</v>
      </c>
      <c r="D194">
        <v>29</v>
      </c>
      <c r="E194" t="s">
        <v>34</v>
      </c>
      <c r="F194" t="s">
        <v>42</v>
      </c>
      <c r="G194" s="2">
        <v>61846</v>
      </c>
      <c r="H194" t="s">
        <v>20</v>
      </c>
      <c r="I194" s="1">
        <v>44169</v>
      </c>
      <c r="J194" t="str">
        <f t="shared" ref="J194:J257" si="12">IF(D194&lt;=28, "Gen Z",IF(D194&lt;=44,"Millennials",IF(D194&lt;=60, "Gen X","Boomers")))</f>
        <v>Millennials</v>
      </c>
      <c r="K194" t="str" cm="1">
        <f t="array" ref="K194">_xlfn.IFS(G194&lt;=50000,"Low",G194&lt;=100000,"Medium",G194&lt;=150000,"High",G194&gt;=150001,"Premium")</f>
        <v>Medium</v>
      </c>
      <c r="L194" s="3">
        <f t="shared" ref="L194:L257" ca="1" si="13">YEAR(TODAY())-YEAR(I194)-(DATE(YEAR(TODAY()),MONTH(I194),DAY(I194))&gt;TODAY())</f>
        <v>4</v>
      </c>
      <c r="M194" t="str">
        <f t="shared" ref="M194:M257" ca="1" si="14">IF(L194&lt;1,"0-1yr",IF(L194&lt;3,"1-3yrs",IF(L194&lt;5,"3-5yrs","5yrs +")))</f>
        <v>3-5yrs</v>
      </c>
      <c r="N194" s="3">
        <f t="shared" ref="N194:N257" ca="1" si="15">COUNTIFS($L$2:$L$501,"&gt;"&amp;L194)+1</f>
        <v>273</v>
      </c>
    </row>
    <row r="195" spans="1:14" x14ac:dyDescent="0.35">
      <c r="A195" t="s">
        <v>411</v>
      </c>
      <c r="B195" t="s">
        <v>412</v>
      </c>
      <c r="C195" t="s">
        <v>11</v>
      </c>
      <c r="D195">
        <v>20</v>
      </c>
      <c r="E195" t="s">
        <v>18</v>
      </c>
      <c r="F195" t="s">
        <v>27</v>
      </c>
      <c r="G195" s="2">
        <v>95932</v>
      </c>
      <c r="H195" t="s">
        <v>14</v>
      </c>
      <c r="I195" s="1">
        <v>45446</v>
      </c>
      <c r="J195" t="str">
        <f t="shared" si="12"/>
        <v>Gen Z</v>
      </c>
      <c r="K195" t="str" cm="1">
        <f t="array" ref="K195">_xlfn.IFS(G195&lt;=50000,"Low",G195&lt;=100000,"Medium",G195&lt;=150000,"High",G195&gt;=150001,"Premium")</f>
        <v>Medium</v>
      </c>
      <c r="L195" s="3">
        <f t="shared" ca="1" si="13"/>
        <v>1</v>
      </c>
      <c r="M195" t="str">
        <f t="shared" ca="1" si="14"/>
        <v>1-3yrs</v>
      </c>
      <c r="N195" s="3">
        <f t="shared" ca="1" si="15"/>
        <v>422</v>
      </c>
    </row>
    <row r="196" spans="1:14" x14ac:dyDescent="0.35">
      <c r="A196" t="s">
        <v>413</v>
      </c>
      <c r="B196" t="s">
        <v>414</v>
      </c>
      <c r="C196" t="s">
        <v>11</v>
      </c>
      <c r="D196">
        <v>18</v>
      </c>
      <c r="E196" t="s">
        <v>18</v>
      </c>
      <c r="F196" t="s">
        <v>13</v>
      </c>
      <c r="G196" s="2">
        <v>168554</v>
      </c>
      <c r="H196" t="s">
        <v>20</v>
      </c>
      <c r="I196" s="1">
        <v>42269</v>
      </c>
      <c r="J196" t="str">
        <f t="shared" si="12"/>
        <v>Gen Z</v>
      </c>
      <c r="K196" t="str" cm="1">
        <f t="array" ref="K196">_xlfn.IFS(G196&lt;=50000,"Low",G196&lt;=100000,"Medium",G196&lt;=150000,"High",G196&gt;=150001,"Premium")</f>
        <v>Premium</v>
      </c>
      <c r="L196" s="3">
        <f t="shared" ca="1" si="13"/>
        <v>10</v>
      </c>
      <c r="M196" t="str">
        <f t="shared" ca="1" si="14"/>
        <v>5yrs +</v>
      </c>
      <c r="N196" s="3">
        <f t="shared" ca="1" si="15"/>
        <v>1</v>
      </c>
    </row>
    <row r="197" spans="1:14" x14ac:dyDescent="0.35">
      <c r="A197" t="s">
        <v>415</v>
      </c>
      <c r="B197" t="s">
        <v>416</v>
      </c>
      <c r="C197" t="s">
        <v>17</v>
      </c>
      <c r="D197">
        <v>50</v>
      </c>
      <c r="E197" t="s">
        <v>18</v>
      </c>
      <c r="F197" t="s">
        <v>27</v>
      </c>
      <c r="G197" s="2">
        <v>43411</v>
      </c>
      <c r="H197" t="s">
        <v>20</v>
      </c>
      <c r="I197" s="1">
        <v>43612</v>
      </c>
      <c r="J197" t="str">
        <f t="shared" si="12"/>
        <v>Gen X</v>
      </c>
      <c r="K197" t="str" cm="1">
        <f t="array" ref="K197">_xlfn.IFS(G197&lt;=50000,"Low",G197&lt;=100000,"Medium",G197&lt;=150000,"High",G197&gt;=150001,"Premium")</f>
        <v>Low</v>
      </c>
      <c r="L197" s="3">
        <f t="shared" ca="1" si="13"/>
        <v>6</v>
      </c>
      <c r="M197" t="str">
        <f t="shared" ca="1" si="14"/>
        <v>5yrs +</v>
      </c>
      <c r="N197" s="3">
        <f t="shared" ca="1" si="15"/>
        <v>169</v>
      </c>
    </row>
    <row r="198" spans="1:14" x14ac:dyDescent="0.35">
      <c r="A198" t="s">
        <v>417</v>
      </c>
      <c r="B198" t="s">
        <v>418</v>
      </c>
      <c r="C198" t="s">
        <v>17</v>
      </c>
      <c r="D198">
        <v>57</v>
      </c>
      <c r="E198" t="s">
        <v>30</v>
      </c>
      <c r="F198" t="s">
        <v>13</v>
      </c>
      <c r="G198" s="2">
        <v>98797</v>
      </c>
      <c r="H198" t="s">
        <v>24</v>
      </c>
      <c r="I198" s="1">
        <v>42402</v>
      </c>
      <c r="J198" t="str">
        <f t="shared" si="12"/>
        <v>Gen X</v>
      </c>
      <c r="K198" t="str" cm="1">
        <f t="array" ref="K198">_xlfn.IFS(G198&lt;=50000,"Low",G198&lt;=100000,"Medium",G198&lt;=150000,"High",G198&gt;=150001,"Premium")</f>
        <v>Medium</v>
      </c>
      <c r="L198" s="3">
        <f t="shared" ca="1" si="13"/>
        <v>9</v>
      </c>
      <c r="M198" t="str">
        <f t="shared" ca="1" si="14"/>
        <v>5yrs +</v>
      </c>
      <c r="N198" s="3">
        <f t="shared" ca="1" si="15"/>
        <v>17</v>
      </c>
    </row>
    <row r="199" spans="1:14" x14ac:dyDescent="0.35">
      <c r="A199" t="s">
        <v>419</v>
      </c>
      <c r="B199" t="s">
        <v>420</v>
      </c>
      <c r="C199" t="s">
        <v>17</v>
      </c>
      <c r="D199">
        <v>27</v>
      </c>
      <c r="E199" t="s">
        <v>12</v>
      </c>
      <c r="F199" t="s">
        <v>19</v>
      </c>
      <c r="G199" s="2">
        <v>72307</v>
      </c>
      <c r="H199" t="s">
        <v>14</v>
      </c>
      <c r="I199" s="1">
        <v>43945</v>
      </c>
      <c r="J199" t="str">
        <f t="shared" si="12"/>
        <v>Gen Z</v>
      </c>
      <c r="K199" t="str" cm="1">
        <f t="array" ref="K199">_xlfn.IFS(G199&lt;=50000,"Low",G199&lt;=100000,"Medium",G199&lt;=150000,"High",G199&gt;=150001,"Premium")</f>
        <v>Medium</v>
      </c>
      <c r="L199" s="3">
        <f t="shared" ca="1" si="13"/>
        <v>5</v>
      </c>
      <c r="M199" t="str">
        <f t="shared" ca="1" si="14"/>
        <v>5yrs +</v>
      </c>
      <c r="N199" s="3">
        <f t="shared" ca="1" si="15"/>
        <v>227</v>
      </c>
    </row>
    <row r="200" spans="1:14" x14ac:dyDescent="0.35">
      <c r="A200" t="s">
        <v>421</v>
      </c>
      <c r="B200" t="s">
        <v>422</v>
      </c>
      <c r="C200" t="s">
        <v>11</v>
      </c>
      <c r="D200">
        <v>60</v>
      </c>
      <c r="E200" t="s">
        <v>18</v>
      </c>
      <c r="F200" t="s">
        <v>27</v>
      </c>
      <c r="G200" s="2">
        <v>154165</v>
      </c>
      <c r="H200" t="s">
        <v>14</v>
      </c>
      <c r="I200" s="1">
        <v>43118</v>
      </c>
      <c r="J200" t="str">
        <f t="shared" si="12"/>
        <v>Gen X</v>
      </c>
      <c r="K200" t="str" cm="1">
        <f t="array" ref="K200">_xlfn.IFS(G200&lt;=50000,"Low",G200&lt;=100000,"Medium",G200&lt;=150000,"High",G200&gt;=150001,"Premium")</f>
        <v>Premium</v>
      </c>
      <c r="L200" s="3">
        <f t="shared" ca="1" si="13"/>
        <v>7</v>
      </c>
      <c r="M200" t="str">
        <f t="shared" ca="1" si="14"/>
        <v>5yrs +</v>
      </c>
      <c r="N200" s="3">
        <f t="shared" ca="1" si="15"/>
        <v>118</v>
      </c>
    </row>
    <row r="201" spans="1:14" x14ac:dyDescent="0.35">
      <c r="A201" t="s">
        <v>423</v>
      </c>
      <c r="B201" t="s">
        <v>424</v>
      </c>
      <c r="C201" t="s">
        <v>11</v>
      </c>
      <c r="D201">
        <v>61</v>
      </c>
      <c r="E201" t="s">
        <v>12</v>
      </c>
      <c r="F201" t="s">
        <v>19</v>
      </c>
      <c r="G201" s="2">
        <v>42042</v>
      </c>
      <c r="H201" t="s">
        <v>14</v>
      </c>
      <c r="I201" s="1">
        <v>45365</v>
      </c>
      <c r="J201" t="str">
        <f t="shared" si="12"/>
        <v>Boomers</v>
      </c>
      <c r="K201" t="str" cm="1">
        <f t="array" ref="K201">_xlfn.IFS(G201&lt;=50000,"Low",G201&lt;=100000,"Medium",G201&lt;=150000,"High",G201&gt;=150001,"Premium")</f>
        <v>Low</v>
      </c>
      <c r="L201" s="3">
        <f t="shared" ca="1" si="13"/>
        <v>1</v>
      </c>
      <c r="M201" t="str">
        <f t="shared" ca="1" si="14"/>
        <v>1-3yrs</v>
      </c>
      <c r="N201" s="3">
        <f t="shared" ca="1" si="15"/>
        <v>422</v>
      </c>
    </row>
    <row r="202" spans="1:14" x14ac:dyDescent="0.35">
      <c r="A202" t="s">
        <v>425</v>
      </c>
      <c r="B202" t="s">
        <v>426</v>
      </c>
      <c r="C202" t="s">
        <v>11</v>
      </c>
      <c r="D202">
        <v>46</v>
      </c>
      <c r="E202" t="s">
        <v>30</v>
      </c>
      <c r="F202" t="s">
        <v>23</v>
      </c>
      <c r="G202" s="2">
        <v>72930</v>
      </c>
      <c r="H202" t="s">
        <v>24</v>
      </c>
      <c r="I202" s="1">
        <v>42971</v>
      </c>
      <c r="J202" t="str">
        <f t="shared" si="12"/>
        <v>Gen X</v>
      </c>
      <c r="K202" t="str" cm="1">
        <f t="array" ref="K202">_xlfn.IFS(G202&lt;=50000,"Low",G202&lt;=100000,"Medium",G202&lt;=150000,"High",G202&gt;=150001,"Premium")</f>
        <v>Medium</v>
      </c>
      <c r="L202" s="3">
        <f t="shared" ca="1" si="13"/>
        <v>8</v>
      </c>
      <c r="M202" t="str">
        <f t="shared" ca="1" si="14"/>
        <v>5yrs +</v>
      </c>
      <c r="N202" s="3">
        <f t="shared" ca="1" si="15"/>
        <v>59</v>
      </c>
    </row>
    <row r="203" spans="1:14" x14ac:dyDescent="0.35">
      <c r="A203" t="s">
        <v>427</v>
      </c>
      <c r="B203" t="s">
        <v>428</v>
      </c>
      <c r="C203" t="s">
        <v>17</v>
      </c>
      <c r="D203">
        <v>30</v>
      </c>
      <c r="E203" t="s">
        <v>34</v>
      </c>
      <c r="F203" t="s">
        <v>23</v>
      </c>
      <c r="G203" s="2">
        <v>195485</v>
      </c>
      <c r="H203" t="s">
        <v>24</v>
      </c>
      <c r="I203" s="1">
        <v>43537</v>
      </c>
      <c r="J203" t="str">
        <f t="shared" si="12"/>
        <v>Millennials</v>
      </c>
      <c r="K203" t="str" cm="1">
        <f t="array" ref="K203">_xlfn.IFS(G203&lt;=50000,"Low",G203&lt;=100000,"Medium",G203&lt;=150000,"High",G203&gt;=150001,"Premium")</f>
        <v>Premium</v>
      </c>
      <c r="L203" s="3">
        <f t="shared" ca="1" si="13"/>
        <v>6</v>
      </c>
      <c r="M203" t="str">
        <f t="shared" ca="1" si="14"/>
        <v>5yrs +</v>
      </c>
      <c r="N203" s="3">
        <f t="shared" ca="1" si="15"/>
        <v>169</v>
      </c>
    </row>
    <row r="204" spans="1:14" x14ac:dyDescent="0.35">
      <c r="A204" t="s">
        <v>429</v>
      </c>
      <c r="B204" t="s">
        <v>430</v>
      </c>
      <c r="C204" t="s">
        <v>11</v>
      </c>
      <c r="D204">
        <v>29</v>
      </c>
      <c r="E204" t="s">
        <v>18</v>
      </c>
      <c r="F204" t="s">
        <v>37</v>
      </c>
      <c r="G204" s="2">
        <v>117883</v>
      </c>
      <c r="H204" t="s">
        <v>14</v>
      </c>
      <c r="I204" s="1">
        <v>45525</v>
      </c>
      <c r="J204" t="str">
        <f t="shared" si="12"/>
        <v>Millennials</v>
      </c>
      <c r="K204" t="str" cm="1">
        <f t="array" ref="K204">_xlfn.IFS(G204&lt;=50000,"Low",G204&lt;=100000,"Medium",G204&lt;=150000,"High",G204&gt;=150001,"Premium")</f>
        <v>High</v>
      </c>
      <c r="L204" s="3">
        <f t="shared" ca="1" si="13"/>
        <v>1</v>
      </c>
      <c r="M204" t="str">
        <f t="shared" ca="1" si="14"/>
        <v>1-3yrs</v>
      </c>
      <c r="N204" s="3">
        <f t="shared" ca="1" si="15"/>
        <v>422</v>
      </c>
    </row>
    <row r="205" spans="1:14" x14ac:dyDescent="0.35">
      <c r="A205" t="s">
        <v>431</v>
      </c>
      <c r="B205" t="s">
        <v>432</v>
      </c>
      <c r="C205" t="s">
        <v>11</v>
      </c>
      <c r="D205">
        <v>48</v>
      </c>
      <c r="E205" t="s">
        <v>12</v>
      </c>
      <c r="F205" t="s">
        <v>42</v>
      </c>
      <c r="G205" s="2">
        <v>53756</v>
      </c>
      <c r="H205" t="s">
        <v>20</v>
      </c>
      <c r="I205" s="1">
        <v>42533</v>
      </c>
      <c r="J205" t="str">
        <f t="shared" si="12"/>
        <v>Gen X</v>
      </c>
      <c r="K205" t="str" cm="1">
        <f t="array" ref="K205">_xlfn.IFS(G205&lt;=50000,"Low",G205&lt;=100000,"Medium",G205&lt;=150000,"High",G205&gt;=150001,"Premium")</f>
        <v>Medium</v>
      </c>
      <c r="L205" s="3">
        <f t="shared" ca="1" si="13"/>
        <v>9</v>
      </c>
      <c r="M205" t="str">
        <f t="shared" ca="1" si="14"/>
        <v>5yrs +</v>
      </c>
      <c r="N205" s="3">
        <f t="shared" ca="1" si="15"/>
        <v>17</v>
      </c>
    </row>
    <row r="206" spans="1:14" x14ac:dyDescent="0.35">
      <c r="A206" t="s">
        <v>433</v>
      </c>
      <c r="B206" t="s">
        <v>434</v>
      </c>
      <c r="C206" t="s">
        <v>17</v>
      </c>
      <c r="D206">
        <v>63</v>
      </c>
      <c r="E206" t="s">
        <v>12</v>
      </c>
      <c r="F206" t="s">
        <v>27</v>
      </c>
      <c r="G206" s="2">
        <v>73268</v>
      </c>
      <c r="H206" t="s">
        <v>14</v>
      </c>
      <c r="I206" s="1">
        <v>45587</v>
      </c>
      <c r="J206" t="str">
        <f t="shared" si="12"/>
        <v>Boomers</v>
      </c>
      <c r="K206" t="str" cm="1">
        <f t="array" ref="K206">_xlfn.IFS(G206&lt;=50000,"Low",G206&lt;=100000,"Medium",G206&lt;=150000,"High",G206&gt;=150001,"Premium")</f>
        <v>Medium</v>
      </c>
      <c r="L206" s="3">
        <f t="shared" ca="1" si="13"/>
        <v>1</v>
      </c>
      <c r="M206" t="str">
        <f t="shared" ca="1" si="14"/>
        <v>1-3yrs</v>
      </c>
      <c r="N206" s="3">
        <f t="shared" ca="1" si="15"/>
        <v>422</v>
      </c>
    </row>
    <row r="207" spans="1:14" x14ac:dyDescent="0.35">
      <c r="A207" t="s">
        <v>435</v>
      </c>
      <c r="B207" t="s">
        <v>436</v>
      </c>
      <c r="C207" t="s">
        <v>11</v>
      </c>
      <c r="D207">
        <v>19</v>
      </c>
      <c r="E207" t="s">
        <v>18</v>
      </c>
      <c r="F207" t="s">
        <v>19</v>
      </c>
      <c r="G207" s="2">
        <v>190286</v>
      </c>
      <c r="H207" t="s">
        <v>20</v>
      </c>
      <c r="I207" s="1">
        <v>43918</v>
      </c>
      <c r="J207" t="str">
        <f t="shared" si="12"/>
        <v>Gen Z</v>
      </c>
      <c r="K207" t="str" cm="1">
        <f t="array" ref="K207">_xlfn.IFS(G207&lt;=50000,"Low",G207&lt;=100000,"Medium",G207&lt;=150000,"High",G207&gt;=150001,"Premium")</f>
        <v>Premium</v>
      </c>
      <c r="L207" s="3">
        <f t="shared" ca="1" si="13"/>
        <v>5</v>
      </c>
      <c r="M207" t="str">
        <f t="shared" ca="1" si="14"/>
        <v>5yrs +</v>
      </c>
      <c r="N207" s="3">
        <f t="shared" ca="1" si="15"/>
        <v>227</v>
      </c>
    </row>
    <row r="208" spans="1:14" x14ac:dyDescent="0.35">
      <c r="A208" t="s">
        <v>437</v>
      </c>
      <c r="B208" t="s">
        <v>438</v>
      </c>
      <c r="C208" t="s">
        <v>17</v>
      </c>
      <c r="D208">
        <v>68</v>
      </c>
      <c r="E208" t="s">
        <v>34</v>
      </c>
      <c r="F208" t="s">
        <v>13</v>
      </c>
      <c r="G208" s="2">
        <v>179674</v>
      </c>
      <c r="H208" t="s">
        <v>14</v>
      </c>
      <c r="I208" s="1">
        <v>43431</v>
      </c>
      <c r="J208" t="str">
        <f t="shared" si="12"/>
        <v>Boomers</v>
      </c>
      <c r="K208" t="str" cm="1">
        <f t="array" ref="K208">_xlfn.IFS(G208&lt;=50000,"Low",G208&lt;=100000,"Medium",G208&lt;=150000,"High",G208&gt;=150001,"Premium")</f>
        <v>Premium</v>
      </c>
      <c r="L208" s="3">
        <f t="shared" ca="1" si="13"/>
        <v>7</v>
      </c>
      <c r="M208" t="str">
        <f t="shared" ca="1" si="14"/>
        <v>5yrs +</v>
      </c>
      <c r="N208" s="3">
        <f t="shared" ca="1" si="15"/>
        <v>118</v>
      </c>
    </row>
    <row r="209" spans="1:14" x14ac:dyDescent="0.35">
      <c r="A209" t="s">
        <v>439</v>
      </c>
      <c r="B209" t="s">
        <v>440</v>
      </c>
      <c r="C209" t="s">
        <v>17</v>
      </c>
      <c r="D209">
        <v>67</v>
      </c>
      <c r="E209" t="s">
        <v>34</v>
      </c>
      <c r="F209" t="s">
        <v>23</v>
      </c>
      <c r="G209" s="2">
        <v>68901</v>
      </c>
      <c r="H209" t="s">
        <v>20</v>
      </c>
      <c r="I209" s="1">
        <v>44644</v>
      </c>
      <c r="J209" t="str">
        <f t="shared" si="12"/>
        <v>Boomers</v>
      </c>
      <c r="K209" t="str" cm="1">
        <f t="array" ref="K209">_xlfn.IFS(G209&lt;=50000,"Low",G209&lt;=100000,"Medium",G209&lt;=150000,"High",G209&gt;=150001,"Premium")</f>
        <v>Medium</v>
      </c>
      <c r="L209" s="3">
        <f t="shared" ca="1" si="13"/>
        <v>3</v>
      </c>
      <c r="M209" t="str">
        <f t="shared" ca="1" si="14"/>
        <v>3-5yrs</v>
      </c>
      <c r="N209" s="3">
        <f t="shared" ca="1" si="15"/>
        <v>319</v>
      </c>
    </row>
    <row r="210" spans="1:14" x14ac:dyDescent="0.35">
      <c r="A210" t="s">
        <v>441</v>
      </c>
      <c r="B210" t="s">
        <v>442</v>
      </c>
      <c r="C210" t="s">
        <v>17</v>
      </c>
      <c r="D210">
        <v>52</v>
      </c>
      <c r="E210" t="s">
        <v>34</v>
      </c>
      <c r="F210" t="s">
        <v>42</v>
      </c>
      <c r="G210" s="2">
        <v>119986</v>
      </c>
      <c r="H210" t="s">
        <v>14</v>
      </c>
      <c r="I210" s="1">
        <v>43935</v>
      </c>
      <c r="J210" t="str">
        <f t="shared" si="12"/>
        <v>Gen X</v>
      </c>
      <c r="K210" t="str" cm="1">
        <f t="array" ref="K210">_xlfn.IFS(G210&lt;=50000,"Low",G210&lt;=100000,"Medium",G210&lt;=150000,"High",G210&gt;=150001,"Premium")</f>
        <v>High</v>
      </c>
      <c r="L210" s="3">
        <f t="shared" ca="1" si="13"/>
        <v>5</v>
      </c>
      <c r="M210" t="str">
        <f t="shared" ca="1" si="14"/>
        <v>5yrs +</v>
      </c>
      <c r="N210" s="3">
        <f t="shared" ca="1" si="15"/>
        <v>227</v>
      </c>
    </row>
    <row r="211" spans="1:14" x14ac:dyDescent="0.35">
      <c r="A211" t="s">
        <v>443</v>
      </c>
      <c r="B211" t="s">
        <v>444</v>
      </c>
      <c r="C211" t="s">
        <v>11</v>
      </c>
      <c r="D211">
        <v>40</v>
      </c>
      <c r="E211" t="s">
        <v>30</v>
      </c>
      <c r="F211" t="s">
        <v>23</v>
      </c>
      <c r="G211" s="2">
        <v>183268</v>
      </c>
      <c r="H211" t="s">
        <v>20</v>
      </c>
      <c r="I211" s="1">
        <v>43742</v>
      </c>
      <c r="J211" t="str">
        <f t="shared" si="12"/>
        <v>Millennials</v>
      </c>
      <c r="K211" t="str" cm="1">
        <f t="array" ref="K211">_xlfn.IFS(G211&lt;=50000,"Low",G211&lt;=100000,"Medium",G211&lt;=150000,"High",G211&gt;=150001,"Premium")</f>
        <v>Premium</v>
      </c>
      <c r="L211" s="3">
        <f t="shared" ca="1" si="13"/>
        <v>6</v>
      </c>
      <c r="M211" t="str">
        <f t="shared" ca="1" si="14"/>
        <v>5yrs +</v>
      </c>
      <c r="N211" s="3">
        <f t="shared" ca="1" si="15"/>
        <v>169</v>
      </c>
    </row>
    <row r="212" spans="1:14" x14ac:dyDescent="0.35">
      <c r="A212" t="s">
        <v>445</v>
      </c>
      <c r="B212" t="s">
        <v>446</v>
      </c>
      <c r="C212" t="s">
        <v>11</v>
      </c>
      <c r="D212">
        <v>34</v>
      </c>
      <c r="E212" t="s">
        <v>12</v>
      </c>
      <c r="F212" t="s">
        <v>13</v>
      </c>
      <c r="G212" s="2">
        <v>148386</v>
      </c>
      <c r="H212" t="s">
        <v>20</v>
      </c>
      <c r="I212" s="1">
        <v>43881</v>
      </c>
      <c r="J212" t="str">
        <f t="shared" si="12"/>
        <v>Millennials</v>
      </c>
      <c r="K212" t="str" cm="1">
        <f t="array" ref="K212">_xlfn.IFS(G212&lt;=50000,"Low",G212&lt;=100000,"Medium",G212&lt;=150000,"High",G212&gt;=150001,"Premium")</f>
        <v>High</v>
      </c>
      <c r="L212" s="3">
        <f t="shared" ca="1" si="13"/>
        <v>5</v>
      </c>
      <c r="M212" t="str">
        <f t="shared" ca="1" si="14"/>
        <v>5yrs +</v>
      </c>
      <c r="N212" s="3">
        <f t="shared" ca="1" si="15"/>
        <v>227</v>
      </c>
    </row>
    <row r="213" spans="1:14" x14ac:dyDescent="0.35">
      <c r="A213" t="s">
        <v>447</v>
      </c>
      <c r="B213" t="s">
        <v>448</v>
      </c>
      <c r="C213" t="s">
        <v>11</v>
      </c>
      <c r="D213">
        <v>43</v>
      </c>
      <c r="E213" t="s">
        <v>12</v>
      </c>
      <c r="F213" t="s">
        <v>42</v>
      </c>
      <c r="G213" s="2">
        <v>25626</v>
      </c>
      <c r="H213" t="s">
        <v>20</v>
      </c>
      <c r="I213" s="1">
        <v>43477</v>
      </c>
      <c r="J213" t="str">
        <f t="shared" si="12"/>
        <v>Millennials</v>
      </c>
      <c r="K213" t="str" cm="1">
        <f t="array" ref="K213">_xlfn.IFS(G213&lt;=50000,"Low",G213&lt;=100000,"Medium",G213&lt;=150000,"High",G213&gt;=150001,"Premium")</f>
        <v>Low</v>
      </c>
      <c r="L213" s="3">
        <f t="shared" ca="1" si="13"/>
        <v>6</v>
      </c>
      <c r="M213" t="str">
        <f t="shared" ca="1" si="14"/>
        <v>5yrs +</v>
      </c>
      <c r="N213" s="3">
        <f t="shared" ca="1" si="15"/>
        <v>169</v>
      </c>
    </row>
    <row r="214" spans="1:14" x14ac:dyDescent="0.35">
      <c r="A214" t="s">
        <v>449</v>
      </c>
      <c r="B214" t="s">
        <v>450</v>
      </c>
      <c r="C214" t="s">
        <v>11</v>
      </c>
      <c r="D214">
        <v>25</v>
      </c>
      <c r="E214" t="s">
        <v>12</v>
      </c>
      <c r="F214" t="s">
        <v>42</v>
      </c>
      <c r="G214" s="2">
        <v>158496</v>
      </c>
      <c r="H214" t="s">
        <v>14</v>
      </c>
      <c r="I214" s="1">
        <v>42973</v>
      </c>
      <c r="J214" t="str">
        <f t="shared" si="12"/>
        <v>Gen Z</v>
      </c>
      <c r="K214" t="str" cm="1">
        <f t="array" ref="K214">_xlfn.IFS(G214&lt;=50000,"Low",G214&lt;=100000,"Medium",G214&lt;=150000,"High",G214&gt;=150001,"Premium")</f>
        <v>Premium</v>
      </c>
      <c r="L214" s="3">
        <f t="shared" ca="1" si="13"/>
        <v>8</v>
      </c>
      <c r="M214" t="str">
        <f t="shared" ca="1" si="14"/>
        <v>5yrs +</v>
      </c>
      <c r="N214" s="3">
        <f t="shared" ca="1" si="15"/>
        <v>59</v>
      </c>
    </row>
    <row r="215" spans="1:14" x14ac:dyDescent="0.35">
      <c r="A215" t="s">
        <v>451</v>
      </c>
      <c r="B215" t="s">
        <v>452</v>
      </c>
      <c r="C215" t="s">
        <v>11</v>
      </c>
      <c r="D215">
        <v>46</v>
      </c>
      <c r="E215" t="s">
        <v>30</v>
      </c>
      <c r="F215" t="s">
        <v>19</v>
      </c>
      <c r="G215" s="2">
        <v>32857</v>
      </c>
      <c r="H215" t="s">
        <v>14</v>
      </c>
      <c r="I215" s="1">
        <v>44799</v>
      </c>
      <c r="J215" t="str">
        <f t="shared" si="12"/>
        <v>Gen X</v>
      </c>
      <c r="K215" t="str" cm="1">
        <f t="array" ref="K215">_xlfn.IFS(G215&lt;=50000,"Low",G215&lt;=100000,"Medium",G215&lt;=150000,"High",G215&gt;=150001,"Premium")</f>
        <v>Low</v>
      </c>
      <c r="L215" s="3">
        <f t="shared" ca="1" si="13"/>
        <v>3</v>
      </c>
      <c r="M215" t="str">
        <f t="shared" ca="1" si="14"/>
        <v>3-5yrs</v>
      </c>
      <c r="N215" s="3">
        <f t="shared" ca="1" si="15"/>
        <v>319</v>
      </c>
    </row>
    <row r="216" spans="1:14" x14ac:dyDescent="0.35">
      <c r="A216" t="s">
        <v>453</v>
      </c>
      <c r="B216" t="s">
        <v>454</v>
      </c>
      <c r="C216" t="s">
        <v>11</v>
      </c>
      <c r="D216">
        <v>43</v>
      </c>
      <c r="E216" t="s">
        <v>12</v>
      </c>
      <c r="F216" t="s">
        <v>19</v>
      </c>
      <c r="G216" s="2">
        <v>171054</v>
      </c>
      <c r="H216" t="s">
        <v>14</v>
      </c>
      <c r="I216" s="1">
        <v>43877</v>
      </c>
      <c r="J216" t="str">
        <f t="shared" si="12"/>
        <v>Millennials</v>
      </c>
      <c r="K216" t="str" cm="1">
        <f t="array" ref="K216">_xlfn.IFS(G216&lt;=50000,"Low",G216&lt;=100000,"Medium",G216&lt;=150000,"High",G216&gt;=150001,"Premium")</f>
        <v>Premium</v>
      </c>
      <c r="L216" s="3">
        <f t="shared" ca="1" si="13"/>
        <v>5</v>
      </c>
      <c r="M216" t="str">
        <f t="shared" ca="1" si="14"/>
        <v>5yrs +</v>
      </c>
      <c r="N216" s="3">
        <f t="shared" ca="1" si="15"/>
        <v>227</v>
      </c>
    </row>
    <row r="217" spans="1:14" x14ac:dyDescent="0.35">
      <c r="A217" t="s">
        <v>455</v>
      </c>
      <c r="B217" t="s">
        <v>456</v>
      </c>
      <c r="C217" t="s">
        <v>11</v>
      </c>
      <c r="D217">
        <v>27</v>
      </c>
      <c r="E217" t="s">
        <v>30</v>
      </c>
      <c r="F217" t="s">
        <v>27</v>
      </c>
      <c r="G217" s="2">
        <v>153052</v>
      </c>
      <c r="H217" t="s">
        <v>14</v>
      </c>
      <c r="I217" s="1">
        <v>42311</v>
      </c>
      <c r="J217" t="str">
        <f t="shared" si="12"/>
        <v>Gen Z</v>
      </c>
      <c r="K217" t="str" cm="1">
        <f t="array" ref="K217">_xlfn.IFS(G217&lt;=50000,"Low",G217&lt;=100000,"Medium",G217&lt;=150000,"High",G217&gt;=150001,"Premium")</f>
        <v>Premium</v>
      </c>
      <c r="L217" s="3">
        <f t="shared" ca="1" si="13"/>
        <v>10</v>
      </c>
      <c r="M217" t="str">
        <f t="shared" ca="1" si="14"/>
        <v>5yrs +</v>
      </c>
      <c r="N217" s="3">
        <f t="shared" ca="1" si="15"/>
        <v>1</v>
      </c>
    </row>
    <row r="218" spans="1:14" x14ac:dyDescent="0.35">
      <c r="A218" t="s">
        <v>457</v>
      </c>
      <c r="B218" t="s">
        <v>458</v>
      </c>
      <c r="C218" t="s">
        <v>17</v>
      </c>
      <c r="D218">
        <v>43</v>
      </c>
      <c r="E218" t="s">
        <v>34</v>
      </c>
      <c r="F218" t="s">
        <v>27</v>
      </c>
      <c r="G218" s="2">
        <v>199362</v>
      </c>
      <c r="H218" t="s">
        <v>14</v>
      </c>
      <c r="I218" s="1">
        <v>45083</v>
      </c>
      <c r="J218" t="str">
        <f t="shared" si="12"/>
        <v>Millennials</v>
      </c>
      <c r="K218" t="str" cm="1">
        <f t="array" ref="K218">_xlfn.IFS(G218&lt;=50000,"Low",G218&lt;=100000,"Medium",G218&lt;=150000,"High",G218&gt;=150001,"Premium")</f>
        <v>Premium</v>
      </c>
      <c r="L218" s="3">
        <f t="shared" ca="1" si="13"/>
        <v>2</v>
      </c>
      <c r="M218" t="str">
        <f t="shared" ca="1" si="14"/>
        <v>1-3yrs</v>
      </c>
      <c r="N218" s="3">
        <f t="shared" ca="1" si="15"/>
        <v>367</v>
      </c>
    </row>
    <row r="219" spans="1:14" x14ac:dyDescent="0.35">
      <c r="A219" t="s">
        <v>459</v>
      </c>
      <c r="B219" t="s">
        <v>460</v>
      </c>
      <c r="C219" t="s">
        <v>11</v>
      </c>
      <c r="D219">
        <v>51</v>
      </c>
      <c r="E219" t="s">
        <v>18</v>
      </c>
      <c r="F219" t="s">
        <v>31</v>
      </c>
      <c r="G219" s="2">
        <v>46431</v>
      </c>
      <c r="H219" t="s">
        <v>24</v>
      </c>
      <c r="I219" s="1">
        <v>42586</v>
      </c>
      <c r="J219" t="str">
        <f t="shared" si="12"/>
        <v>Gen X</v>
      </c>
      <c r="K219" t="str" cm="1">
        <f t="array" ref="K219">_xlfn.IFS(G219&lt;=50000,"Low",G219&lt;=100000,"Medium",G219&lt;=150000,"High",G219&gt;=150001,"Premium")</f>
        <v>Low</v>
      </c>
      <c r="L219" s="3">
        <f t="shared" ca="1" si="13"/>
        <v>9</v>
      </c>
      <c r="M219" t="str">
        <f t="shared" ca="1" si="14"/>
        <v>5yrs +</v>
      </c>
      <c r="N219" s="3">
        <f t="shared" ca="1" si="15"/>
        <v>17</v>
      </c>
    </row>
    <row r="220" spans="1:14" x14ac:dyDescent="0.35">
      <c r="A220" t="s">
        <v>461</v>
      </c>
      <c r="B220" t="s">
        <v>462</v>
      </c>
      <c r="C220" t="s">
        <v>17</v>
      </c>
      <c r="D220">
        <v>68</v>
      </c>
      <c r="E220" t="s">
        <v>12</v>
      </c>
      <c r="F220" t="s">
        <v>31</v>
      </c>
      <c r="G220" s="2">
        <v>104976</v>
      </c>
      <c r="H220" t="s">
        <v>14</v>
      </c>
      <c r="I220" s="1">
        <v>43719</v>
      </c>
      <c r="J220" t="str">
        <f t="shared" si="12"/>
        <v>Boomers</v>
      </c>
      <c r="K220" t="str" cm="1">
        <f t="array" ref="K220">_xlfn.IFS(G220&lt;=50000,"Low",G220&lt;=100000,"Medium",G220&lt;=150000,"High",G220&gt;=150001,"Premium")</f>
        <v>High</v>
      </c>
      <c r="L220" s="3">
        <f t="shared" ca="1" si="13"/>
        <v>6</v>
      </c>
      <c r="M220" t="str">
        <f t="shared" ca="1" si="14"/>
        <v>5yrs +</v>
      </c>
      <c r="N220" s="3">
        <f t="shared" ca="1" si="15"/>
        <v>169</v>
      </c>
    </row>
    <row r="221" spans="1:14" x14ac:dyDescent="0.35">
      <c r="A221" t="s">
        <v>463</v>
      </c>
      <c r="B221" t="s">
        <v>464</v>
      </c>
      <c r="C221" t="s">
        <v>11</v>
      </c>
      <c r="D221">
        <v>58</v>
      </c>
      <c r="E221" t="s">
        <v>12</v>
      </c>
      <c r="F221" t="s">
        <v>37</v>
      </c>
      <c r="G221" s="2">
        <v>102711</v>
      </c>
      <c r="H221" t="s">
        <v>14</v>
      </c>
      <c r="I221" s="1">
        <v>45427</v>
      </c>
      <c r="J221" t="str">
        <f t="shared" si="12"/>
        <v>Gen X</v>
      </c>
      <c r="K221" t="str" cm="1">
        <f t="array" ref="K221">_xlfn.IFS(G221&lt;=50000,"Low",G221&lt;=100000,"Medium",G221&lt;=150000,"High",G221&gt;=150001,"Premium")</f>
        <v>High</v>
      </c>
      <c r="L221" s="3">
        <f t="shared" ca="1" si="13"/>
        <v>1</v>
      </c>
      <c r="M221" t="str">
        <f t="shared" ca="1" si="14"/>
        <v>1-3yrs</v>
      </c>
      <c r="N221" s="3">
        <f t="shared" ca="1" si="15"/>
        <v>422</v>
      </c>
    </row>
    <row r="222" spans="1:14" x14ac:dyDescent="0.35">
      <c r="A222" t="s">
        <v>465</v>
      </c>
      <c r="B222" t="s">
        <v>466</v>
      </c>
      <c r="C222" t="s">
        <v>11</v>
      </c>
      <c r="D222">
        <v>24</v>
      </c>
      <c r="E222" t="s">
        <v>34</v>
      </c>
      <c r="F222" t="s">
        <v>23</v>
      </c>
      <c r="G222" s="2">
        <v>46385</v>
      </c>
      <c r="H222" t="s">
        <v>14</v>
      </c>
      <c r="I222" s="1">
        <v>43046</v>
      </c>
      <c r="J222" t="str">
        <f t="shared" si="12"/>
        <v>Gen Z</v>
      </c>
      <c r="K222" t="str" cm="1">
        <f t="array" ref="K222">_xlfn.IFS(G222&lt;=50000,"Low",G222&lt;=100000,"Medium",G222&lt;=150000,"High",G222&gt;=150001,"Premium")</f>
        <v>Low</v>
      </c>
      <c r="L222" s="3">
        <f t="shared" ca="1" si="13"/>
        <v>8</v>
      </c>
      <c r="M222" t="str">
        <f t="shared" ca="1" si="14"/>
        <v>5yrs +</v>
      </c>
      <c r="N222" s="3">
        <f t="shared" ca="1" si="15"/>
        <v>59</v>
      </c>
    </row>
    <row r="223" spans="1:14" x14ac:dyDescent="0.35">
      <c r="A223" t="s">
        <v>467</v>
      </c>
      <c r="B223" t="s">
        <v>468</v>
      </c>
      <c r="C223" t="s">
        <v>11</v>
      </c>
      <c r="D223">
        <v>21</v>
      </c>
      <c r="E223" t="s">
        <v>18</v>
      </c>
      <c r="F223" t="s">
        <v>27</v>
      </c>
      <c r="G223" s="2">
        <v>189230</v>
      </c>
      <c r="H223" t="s">
        <v>14</v>
      </c>
      <c r="I223" s="1">
        <v>45495</v>
      </c>
      <c r="J223" t="str">
        <f t="shared" si="12"/>
        <v>Gen Z</v>
      </c>
      <c r="K223" t="str" cm="1">
        <f t="array" ref="K223">_xlfn.IFS(G223&lt;=50000,"Low",G223&lt;=100000,"Medium",G223&lt;=150000,"High",G223&gt;=150001,"Premium")</f>
        <v>Premium</v>
      </c>
      <c r="L223" s="3">
        <f t="shared" ca="1" si="13"/>
        <v>1</v>
      </c>
      <c r="M223" t="str">
        <f t="shared" ca="1" si="14"/>
        <v>1-3yrs</v>
      </c>
      <c r="N223" s="3">
        <f t="shared" ca="1" si="15"/>
        <v>422</v>
      </c>
    </row>
    <row r="224" spans="1:14" x14ac:dyDescent="0.35">
      <c r="A224" t="s">
        <v>469</v>
      </c>
      <c r="B224" t="s">
        <v>470</v>
      </c>
      <c r="C224" t="s">
        <v>17</v>
      </c>
      <c r="D224">
        <v>70</v>
      </c>
      <c r="E224" t="s">
        <v>30</v>
      </c>
      <c r="F224" t="s">
        <v>19</v>
      </c>
      <c r="G224" s="2">
        <v>174091</v>
      </c>
      <c r="H224" t="s">
        <v>20</v>
      </c>
      <c r="I224" s="1">
        <v>42378</v>
      </c>
      <c r="J224" t="str">
        <f t="shared" si="12"/>
        <v>Boomers</v>
      </c>
      <c r="K224" t="str" cm="1">
        <f t="array" ref="K224">_xlfn.IFS(G224&lt;=50000,"Low",G224&lt;=100000,"Medium",G224&lt;=150000,"High",G224&gt;=150001,"Premium")</f>
        <v>Premium</v>
      </c>
      <c r="L224" s="3">
        <f t="shared" ca="1" si="13"/>
        <v>9</v>
      </c>
      <c r="M224" t="str">
        <f t="shared" ca="1" si="14"/>
        <v>5yrs +</v>
      </c>
      <c r="N224" s="3">
        <f t="shared" ca="1" si="15"/>
        <v>17</v>
      </c>
    </row>
    <row r="225" spans="1:14" x14ac:dyDescent="0.35">
      <c r="A225" t="s">
        <v>471</v>
      </c>
      <c r="B225" t="s">
        <v>472</v>
      </c>
      <c r="C225" t="s">
        <v>17</v>
      </c>
      <c r="D225">
        <v>67</v>
      </c>
      <c r="E225" t="s">
        <v>18</v>
      </c>
      <c r="F225" t="s">
        <v>13</v>
      </c>
      <c r="G225" s="2">
        <v>38639</v>
      </c>
      <c r="H225" t="s">
        <v>14</v>
      </c>
      <c r="I225" s="1">
        <v>42653</v>
      </c>
      <c r="J225" t="str">
        <f t="shared" si="12"/>
        <v>Boomers</v>
      </c>
      <c r="K225" t="str" cm="1">
        <f t="array" ref="K225">_xlfn.IFS(G225&lt;=50000,"Low",G225&lt;=100000,"Medium",G225&lt;=150000,"High",G225&gt;=150001,"Premium")</f>
        <v>Low</v>
      </c>
      <c r="L225" s="3">
        <f t="shared" ca="1" si="13"/>
        <v>9</v>
      </c>
      <c r="M225" t="str">
        <f t="shared" ca="1" si="14"/>
        <v>5yrs +</v>
      </c>
      <c r="N225" s="3">
        <f t="shared" ca="1" si="15"/>
        <v>17</v>
      </c>
    </row>
    <row r="226" spans="1:14" x14ac:dyDescent="0.35">
      <c r="A226" t="s">
        <v>473</v>
      </c>
      <c r="B226" t="s">
        <v>474</v>
      </c>
      <c r="C226" t="s">
        <v>17</v>
      </c>
      <c r="D226">
        <v>62</v>
      </c>
      <c r="E226" t="s">
        <v>34</v>
      </c>
      <c r="F226" t="s">
        <v>19</v>
      </c>
      <c r="G226" s="2">
        <v>105530</v>
      </c>
      <c r="H226" t="s">
        <v>24</v>
      </c>
      <c r="I226" s="1">
        <v>43070</v>
      </c>
      <c r="J226" t="str">
        <f t="shared" si="12"/>
        <v>Boomers</v>
      </c>
      <c r="K226" t="str" cm="1">
        <f t="array" ref="K226">_xlfn.IFS(G226&lt;=50000,"Low",G226&lt;=100000,"Medium",G226&lt;=150000,"High",G226&gt;=150001,"Premium")</f>
        <v>High</v>
      </c>
      <c r="L226" s="3">
        <f t="shared" ca="1" si="13"/>
        <v>7</v>
      </c>
      <c r="M226" t="str">
        <f t="shared" ca="1" si="14"/>
        <v>5yrs +</v>
      </c>
      <c r="N226" s="3">
        <f t="shared" ca="1" si="15"/>
        <v>118</v>
      </c>
    </row>
    <row r="227" spans="1:14" x14ac:dyDescent="0.35">
      <c r="A227" t="s">
        <v>475</v>
      </c>
      <c r="B227" t="s">
        <v>476</v>
      </c>
      <c r="C227" t="s">
        <v>17</v>
      </c>
      <c r="D227">
        <v>28</v>
      </c>
      <c r="E227" t="s">
        <v>34</v>
      </c>
      <c r="F227" t="s">
        <v>23</v>
      </c>
      <c r="G227" s="2">
        <v>41563</v>
      </c>
      <c r="H227" t="s">
        <v>14</v>
      </c>
      <c r="I227" s="1">
        <v>45387</v>
      </c>
      <c r="J227" t="str">
        <f t="shared" si="12"/>
        <v>Gen Z</v>
      </c>
      <c r="K227" t="str" cm="1">
        <f t="array" ref="K227">_xlfn.IFS(G227&lt;=50000,"Low",G227&lt;=100000,"Medium",G227&lt;=150000,"High",G227&gt;=150001,"Premium")</f>
        <v>Low</v>
      </c>
      <c r="L227" s="3">
        <f t="shared" ca="1" si="13"/>
        <v>1</v>
      </c>
      <c r="M227" t="str">
        <f t="shared" ca="1" si="14"/>
        <v>1-3yrs</v>
      </c>
      <c r="N227" s="3">
        <f t="shared" ca="1" si="15"/>
        <v>422</v>
      </c>
    </row>
    <row r="228" spans="1:14" x14ac:dyDescent="0.35">
      <c r="A228" t="s">
        <v>477</v>
      </c>
      <c r="B228" t="s">
        <v>478</v>
      </c>
      <c r="C228" t="s">
        <v>11</v>
      </c>
      <c r="D228">
        <v>46</v>
      </c>
      <c r="E228" t="s">
        <v>18</v>
      </c>
      <c r="F228" t="s">
        <v>31</v>
      </c>
      <c r="G228" s="2">
        <v>190413</v>
      </c>
      <c r="H228" t="s">
        <v>24</v>
      </c>
      <c r="I228" s="1">
        <v>42873</v>
      </c>
      <c r="J228" t="str">
        <f t="shared" si="12"/>
        <v>Gen X</v>
      </c>
      <c r="K228" t="str" cm="1">
        <f t="array" ref="K228">_xlfn.IFS(G228&lt;=50000,"Low",G228&lt;=100000,"Medium",G228&lt;=150000,"High",G228&gt;=150001,"Premium")</f>
        <v>Premium</v>
      </c>
      <c r="L228" s="3">
        <f t="shared" ca="1" si="13"/>
        <v>8</v>
      </c>
      <c r="M228" t="str">
        <f t="shared" ca="1" si="14"/>
        <v>5yrs +</v>
      </c>
      <c r="N228" s="3">
        <f t="shared" ca="1" si="15"/>
        <v>59</v>
      </c>
    </row>
    <row r="229" spans="1:14" x14ac:dyDescent="0.35">
      <c r="A229" t="s">
        <v>479</v>
      </c>
      <c r="B229" t="s">
        <v>480</v>
      </c>
      <c r="C229" t="s">
        <v>17</v>
      </c>
      <c r="D229">
        <v>73</v>
      </c>
      <c r="E229" t="s">
        <v>30</v>
      </c>
      <c r="F229" t="s">
        <v>19</v>
      </c>
      <c r="G229" s="2">
        <v>135672</v>
      </c>
      <c r="H229" t="s">
        <v>20</v>
      </c>
      <c r="I229" s="1">
        <v>43479</v>
      </c>
      <c r="J229" t="str">
        <f t="shared" si="12"/>
        <v>Boomers</v>
      </c>
      <c r="K229" t="str" cm="1">
        <f t="array" ref="K229">_xlfn.IFS(G229&lt;=50000,"Low",G229&lt;=100000,"Medium",G229&lt;=150000,"High",G229&gt;=150001,"Premium")</f>
        <v>High</v>
      </c>
      <c r="L229" s="3">
        <f t="shared" ca="1" si="13"/>
        <v>6</v>
      </c>
      <c r="M229" t="str">
        <f t="shared" ca="1" si="14"/>
        <v>5yrs +</v>
      </c>
      <c r="N229" s="3">
        <f t="shared" ca="1" si="15"/>
        <v>169</v>
      </c>
    </row>
    <row r="230" spans="1:14" x14ac:dyDescent="0.35">
      <c r="A230" t="s">
        <v>481</v>
      </c>
      <c r="B230" t="s">
        <v>482</v>
      </c>
      <c r="C230" t="s">
        <v>11</v>
      </c>
      <c r="D230">
        <v>53</v>
      </c>
      <c r="E230" t="s">
        <v>30</v>
      </c>
      <c r="F230" t="s">
        <v>37</v>
      </c>
      <c r="G230" s="2">
        <v>156848</v>
      </c>
      <c r="H230" t="s">
        <v>14</v>
      </c>
      <c r="I230" s="1">
        <v>44786</v>
      </c>
      <c r="J230" t="str">
        <f t="shared" si="12"/>
        <v>Gen X</v>
      </c>
      <c r="K230" t="str" cm="1">
        <f t="array" ref="K230">_xlfn.IFS(G230&lt;=50000,"Low",G230&lt;=100000,"Medium",G230&lt;=150000,"High",G230&gt;=150001,"Premium")</f>
        <v>Premium</v>
      </c>
      <c r="L230" s="3">
        <f t="shared" ca="1" si="13"/>
        <v>3</v>
      </c>
      <c r="M230" t="str">
        <f t="shared" ca="1" si="14"/>
        <v>3-5yrs</v>
      </c>
      <c r="N230" s="3">
        <f t="shared" ca="1" si="15"/>
        <v>319</v>
      </c>
    </row>
    <row r="231" spans="1:14" x14ac:dyDescent="0.35">
      <c r="A231" t="s">
        <v>483</v>
      </c>
      <c r="B231" t="s">
        <v>484</v>
      </c>
      <c r="C231" t="s">
        <v>11</v>
      </c>
      <c r="D231">
        <v>42</v>
      </c>
      <c r="E231" t="s">
        <v>12</v>
      </c>
      <c r="F231" t="s">
        <v>23</v>
      </c>
      <c r="G231" s="2">
        <v>187516</v>
      </c>
      <c r="H231" t="s">
        <v>24</v>
      </c>
      <c r="I231" s="1">
        <v>43184</v>
      </c>
      <c r="J231" t="str">
        <f t="shared" si="12"/>
        <v>Millennials</v>
      </c>
      <c r="K231" t="str" cm="1">
        <f t="array" ref="K231">_xlfn.IFS(G231&lt;=50000,"Low",G231&lt;=100000,"Medium",G231&lt;=150000,"High",G231&gt;=150001,"Premium")</f>
        <v>Premium</v>
      </c>
      <c r="L231" s="3">
        <f t="shared" ca="1" si="13"/>
        <v>7</v>
      </c>
      <c r="M231" t="str">
        <f t="shared" ca="1" si="14"/>
        <v>5yrs +</v>
      </c>
      <c r="N231" s="3">
        <f t="shared" ca="1" si="15"/>
        <v>118</v>
      </c>
    </row>
    <row r="232" spans="1:14" x14ac:dyDescent="0.35">
      <c r="A232" t="s">
        <v>485</v>
      </c>
      <c r="B232" t="s">
        <v>486</v>
      </c>
      <c r="C232" t="s">
        <v>17</v>
      </c>
      <c r="D232">
        <v>38</v>
      </c>
      <c r="E232" t="s">
        <v>30</v>
      </c>
      <c r="F232" t="s">
        <v>31</v>
      </c>
      <c r="G232" s="2">
        <v>159783</v>
      </c>
      <c r="H232" t="s">
        <v>14</v>
      </c>
      <c r="I232" s="1">
        <v>44937</v>
      </c>
      <c r="J232" t="str">
        <f t="shared" si="12"/>
        <v>Millennials</v>
      </c>
      <c r="K232" t="str" cm="1">
        <f t="array" ref="K232">_xlfn.IFS(G232&lt;=50000,"Low",G232&lt;=100000,"Medium",G232&lt;=150000,"High",G232&gt;=150001,"Premium")</f>
        <v>Premium</v>
      </c>
      <c r="L232" s="3">
        <f t="shared" ca="1" si="13"/>
        <v>2</v>
      </c>
      <c r="M232" t="str">
        <f t="shared" ca="1" si="14"/>
        <v>1-3yrs</v>
      </c>
      <c r="N232" s="3">
        <f t="shared" ca="1" si="15"/>
        <v>367</v>
      </c>
    </row>
    <row r="233" spans="1:14" x14ac:dyDescent="0.35">
      <c r="A233" t="s">
        <v>487</v>
      </c>
      <c r="B233" t="s">
        <v>488</v>
      </c>
      <c r="C233" t="s">
        <v>17</v>
      </c>
      <c r="D233">
        <v>74</v>
      </c>
      <c r="E233" t="s">
        <v>18</v>
      </c>
      <c r="F233" t="s">
        <v>13</v>
      </c>
      <c r="G233" s="2">
        <v>102970</v>
      </c>
      <c r="H233" t="s">
        <v>20</v>
      </c>
      <c r="I233" s="1">
        <v>43335</v>
      </c>
      <c r="J233" t="str">
        <f t="shared" si="12"/>
        <v>Boomers</v>
      </c>
      <c r="K233" t="str" cm="1">
        <f t="array" ref="K233">_xlfn.IFS(G233&lt;=50000,"Low",G233&lt;=100000,"Medium",G233&lt;=150000,"High",G233&gt;=150001,"Premium")</f>
        <v>High</v>
      </c>
      <c r="L233" s="3">
        <f t="shared" ca="1" si="13"/>
        <v>7</v>
      </c>
      <c r="M233" t="str">
        <f t="shared" ca="1" si="14"/>
        <v>5yrs +</v>
      </c>
      <c r="N233" s="3">
        <f t="shared" ca="1" si="15"/>
        <v>118</v>
      </c>
    </row>
    <row r="234" spans="1:14" x14ac:dyDescent="0.35">
      <c r="A234" t="s">
        <v>489</v>
      </c>
      <c r="B234" t="s">
        <v>490</v>
      </c>
      <c r="C234" t="s">
        <v>17</v>
      </c>
      <c r="D234">
        <v>53</v>
      </c>
      <c r="E234" t="s">
        <v>34</v>
      </c>
      <c r="F234" t="s">
        <v>31</v>
      </c>
      <c r="G234" s="2">
        <v>105553</v>
      </c>
      <c r="H234" t="s">
        <v>14</v>
      </c>
      <c r="I234" s="1">
        <v>42932</v>
      </c>
      <c r="J234" t="str">
        <f t="shared" si="12"/>
        <v>Gen X</v>
      </c>
      <c r="K234" t="str" cm="1">
        <f t="array" ref="K234">_xlfn.IFS(G234&lt;=50000,"Low",G234&lt;=100000,"Medium",G234&lt;=150000,"High",G234&gt;=150001,"Premium")</f>
        <v>High</v>
      </c>
      <c r="L234" s="3">
        <f t="shared" ca="1" si="13"/>
        <v>8</v>
      </c>
      <c r="M234" t="str">
        <f t="shared" ca="1" si="14"/>
        <v>5yrs +</v>
      </c>
      <c r="N234" s="3">
        <f t="shared" ca="1" si="15"/>
        <v>59</v>
      </c>
    </row>
    <row r="235" spans="1:14" x14ac:dyDescent="0.35">
      <c r="A235" t="s">
        <v>491</v>
      </c>
      <c r="B235" t="s">
        <v>492</v>
      </c>
      <c r="C235" t="s">
        <v>17</v>
      </c>
      <c r="D235">
        <v>27</v>
      </c>
      <c r="E235" t="s">
        <v>12</v>
      </c>
      <c r="F235" t="s">
        <v>42</v>
      </c>
      <c r="G235" s="2">
        <v>181779</v>
      </c>
      <c r="H235" t="s">
        <v>20</v>
      </c>
      <c r="I235" s="1">
        <v>42976</v>
      </c>
      <c r="J235" t="str">
        <f t="shared" si="12"/>
        <v>Gen Z</v>
      </c>
      <c r="K235" t="str" cm="1">
        <f t="array" ref="K235">_xlfn.IFS(G235&lt;=50000,"Low",G235&lt;=100000,"Medium",G235&lt;=150000,"High",G235&gt;=150001,"Premium")</f>
        <v>Premium</v>
      </c>
      <c r="L235" s="3">
        <f t="shared" ca="1" si="13"/>
        <v>8</v>
      </c>
      <c r="M235" t="str">
        <f t="shared" ca="1" si="14"/>
        <v>5yrs +</v>
      </c>
      <c r="N235" s="3">
        <f t="shared" ca="1" si="15"/>
        <v>59</v>
      </c>
    </row>
    <row r="236" spans="1:14" x14ac:dyDescent="0.35">
      <c r="A236" t="s">
        <v>493</v>
      </c>
      <c r="B236" t="s">
        <v>494</v>
      </c>
      <c r="C236" t="s">
        <v>17</v>
      </c>
      <c r="D236">
        <v>54</v>
      </c>
      <c r="E236" t="s">
        <v>12</v>
      </c>
      <c r="F236" t="s">
        <v>37</v>
      </c>
      <c r="G236" s="2">
        <v>190182</v>
      </c>
      <c r="H236" t="s">
        <v>20</v>
      </c>
      <c r="I236" s="1">
        <v>45033</v>
      </c>
      <c r="J236" t="str">
        <f t="shared" si="12"/>
        <v>Gen X</v>
      </c>
      <c r="K236" t="str" cm="1">
        <f t="array" ref="K236">_xlfn.IFS(G236&lt;=50000,"Low",G236&lt;=100000,"Medium",G236&lt;=150000,"High",G236&gt;=150001,"Premium")</f>
        <v>Premium</v>
      </c>
      <c r="L236" s="3">
        <f t="shared" ca="1" si="13"/>
        <v>2</v>
      </c>
      <c r="M236" t="str">
        <f t="shared" ca="1" si="14"/>
        <v>1-3yrs</v>
      </c>
      <c r="N236" s="3">
        <f t="shared" ca="1" si="15"/>
        <v>367</v>
      </c>
    </row>
    <row r="237" spans="1:14" x14ac:dyDescent="0.35">
      <c r="A237" t="s">
        <v>495</v>
      </c>
      <c r="B237" t="s">
        <v>496</v>
      </c>
      <c r="C237" t="s">
        <v>17</v>
      </c>
      <c r="D237">
        <v>26</v>
      </c>
      <c r="E237" t="s">
        <v>34</v>
      </c>
      <c r="F237" t="s">
        <v>23</v>
      </c>
      <c r="G237" s="2">
        <v>102879</v>
      </c>
      <c r="H237" t="s">
        <v>20</v>
      </c>
      <c r="I237" s="1">
        <v>42866</v>
      </c>
      <c r="J237" t="str">
        <f t="shared" si="12"/>
        <v>Gen Z</v>
      </c>
      <c r="K237" t="str" cm="1">
        <f t="array" ref="K237">_xlfn.IFS(G237&lt;=50000,"Low",G237&lt;=100000,"Medium",G237&lt;=150000,"High",G237&gt;=150001,"Premium")</f>
        <v>High</v>
      </c>
      <c r="L237" s="3">
        <f t="shared" ca="1" si="13"/>
        <v>8</v>
      </c>
      <c r="M237" t="str">
        <f t="shared" ca="1" si="14"/>
        <v>5yrs +</v>
      </c>
      <c r="N237" s="3">
        <f t="shared" ca="1" si="15"/>
        <v>59</v>
      </c>
    </row>
    <row r="238" spans="1:14" x14ac:dyDescent="0.35">
      <c r="A238" t="s">
        <v>497</v>
      </c>
      <c r="B238" t="s">
        <v>498</v>
      </c>
      <c r="C238" t="s">
        <v>17</v>
      </c>
      <c r="D238">
        <v>41</v>
      </c>
      <c r="E238" t="s">
        <v>30</v>
      </c>
      <c r="F238" t="s">
        <v>13</v>
      </c>
      <c r="G238" s="2">
        <v>189899</v>
      </c>
      <c r="H238" t="s">
        <v>20</v>
      </c>
      <c r="I238" s="1">
        <v>45579</v>
      </c>
      <c r="J238" t="str">
        <f t="shared" si="12"/>
        <v>Millennials</v>
      </c>
      <c r="K238" t="str" cm="1">
        <f t="array" ref="K238">_xlfn.IFS(G238&lt;=50000,"Low",G238&lt;=100000,"Medium",G238&lt;=150000,"High",G238&gt;=150001,"Premium")</f>
        <v>Premium</v>
      </c>
      <c r="L238" s="3">
        <f t="shared" ca="1" si="13"/>
        <v>1</v>
      </c>
      <c r="M238" t="str">
        <f t="shared" ca="1" si="14"/>
        <v>1-3yrs</v>
      </c>
      <c r="N238" s="3">
        <f t="shared" ca="1" si="15"/>
        <v>422</v>
      </c>
    </row>
    <row r="239" spans="1:14" x14ac:dyDescent="0.35">
      <c r="A239" t="s">
        <v>499</v>
      </c>
      <c r="B239" t="s">
        <v>500</v>
      </c>
      <c r="C239" t="s">
        <v>17</v>
      </c>
      <c r="D239">
        <v>52</v>
      </c>
      <c r="E239" t="s">
        <v>34</v>
      </c>
      <c r="F239" t="s">
        <v>37</v>
      </c>
      <c r="G239" s="2">
        <v>156727</v>
      </c>
      <c r="H239" t="s">
        <v>14</v>
      </c>
      <c r="I239" s="1">
        <v>44108</v>
      </c>
      <c r="J239" t="str">
        <f t="shared" si="12"/>
        <v>Gen X</v>
      </c>
      <c r="K239" t="str" cm="1">
        <f t="array" ref="K239">_xlfn.IFS(G239&lt;=50000,"Low",G239&lt;=100000,"Medium",G239&lt;=150000,"High",G239&gt;=150001,"Premium")</f>
        <v>Premium</v>
      </c>
      <c r="L239" s="3">
        <f t="shared" ca="1" si="13"/>
        <v>5</v>
      </c>
      <c r="M239" t="str">
        <f t="shared" ca="1" si="14"/>
        <v>5yrs +</v>
      </c>
      <c r="N239" s="3">
        <f t="shared" ca="1" si="15"/>
        <v>227</v>
      </c>
    </row>
    <row r="240" spans="1:14" x14ac:dyDescent="0.35">
      <c r="A240" t="s">
        <v>501</v>
      </c>
      <c r="B240" t="s">
        <v>502</v>
      </c>
      <c r="C240" t="s">
        <v>11</v>
      </c>
      <c r="D240">
        <v>66</v>
      </c>
      <c r="E240" t="s">
        <v>30</v>
      </c>
      <c r="F240" t="s">
        <v>31</v>
      </c>
      <c r="G240" s="2">
        <v>64859</v>
      </c>
      <c r="H240" t="s">
        <v>14</v>
      </c>
      <c r="I240" s="1">
        <v>45601</v>
      </c>
      <c r="J240" t="str">
        <f t="shared" si="12"/>
        <v>Boomers</v>
      </c>
      <c r="K240" t="str" cm="1">
        <f t="array" ref="K240">_xlfn.IFS(G240&lt;=50000,"Low",G240&lt;=100000,"Medium",G240&lt;=150000,"High",G240&gt;=150001,"Premium")</f>
        <v>Medium</v>
      </c>
      <c r="L240" s="3">
        <f t="shared" ca="1" si="13"/>
        <v>1</v>
      </c>
      <c r="M240" t="str">
        <f t="shared" ca="1" si="14"/>
        <v>1-3yrs</v>
      </c>
      <c r="N240" s="3">
        <f t="shared" ca="1" si="15"/>
        <v>422</v>
      </c>
    </row>
    <row r="241" spans="1:14" x14ac:dyDescent="0.35">
      <c r="A241" t="s">
        <v>503</v>
      </c>
      <c r="B241" t="s">
        <v>504</v>
      </c>
      <c r="C241" t="s">
        <v>17</v>
      </c>
      <c r="D241">
        <v>52</v>
      </c>
      <c r="E241" t="s">
        <v>34</v>
      </c>
      <c r="F241" t="s">
        <v>37</v>
      </c>
      <c r="G241" s="2">
        <v>72098</v>
      </c>
      <c r="H241" t="s">
        <v>14</v>
      </c>
      <c r="I241" s="1">
        <v>44544</v>
      </c>
      <c r="J241" t="str">
        <f t="shared" si="12"/>
        <v>Gen X</v>
      </c>
      <c r="K241" t="str" cm="1">
        <f t="array" ref="K241">_xlfn.IFS(G241&lt;=50000,"Low",G241&lt;=100000,"Medium",G241&lt;=150000,"High",G241&gt;=150001,"Premium")</f>
        <v>Medium</v>
      </c>
      <c r="L241" s="3">
        <f t="shared" ca="1" si="13"/>
        <v>3</v>
      </c>
      <c r="M241" t="str">
        <f t="shared" ca="1" si="14"/>
        <v>3-5yrs</v>
      </c>
      <c r="N241" s="3">
        <f t="shared" ca="1" si="15"/>
        <v>319</v>
      </c>
    </row>
    <row r="242" spans="1:14" x14ac:dyDescent="0.35">
      <c r="A242" t="s">
        <v>505</v>
      </c>
      <c r="B242" t="s">
        <v>506</v>
      </c>
      <c r="C242" t="s">
        <v>17</v>
      </c>
      <c r="D242">
        <v>65</v>
      </c>
      <c r="E242" t="s">
        <v>18</v>
      </c>
      <c r="F242" t="s">
        <v>23</v>
      </c>
      <c r="G242" s="2">
        <v>166323</v>
      </c>
      <c r="H242" t="s">
        <v>14</v>
      </c>
      <c r="I242" s="1">
        <v>45420</v>
      </c>
      <c r="J242" t="str">
        <f t="shared" si="12"/>
        <v>Boomers</v>
      </c>
      <c r="K242" t="str" cm="1">
        <f t="array" ref="K242">_xlfn.IFS(G242&lt;=50000,"Low",G242&lt;=100000,"Medium",G242&lt;=150000,"High",G242&gt;=150001,"Premium")</f>
        <v>Premium</v>
      </c>
      <c r="L242" s="3">
        <f t="shared" ca="1" si="13"/>
        <v>1</v>
      </c>
      <c r="M242" t="str">
        <f t="shared" ca="1" si="14"/>
        <v>1-3yrs</v>
      </c>
      <c r="N242" s="3">
        <f t="shared" ca="1" si="15"/>
        <v>422</v>
      </c>
    </row>
    <row r="243" spans="1:14" x14ac:dyDescent="0.35">
      <c r="A243" t="s">
        <v>507</v>
      </c>
      <c r="B243" t="s">
        <v>508</v>
      </c>
      <c r="C243" t="s">
        <v>11</v>
      </c>
      <c r="D243">
        <v>53</v>
      </c>
      <c r="E243" t="s">
        <v>30</v>
      </c>
      <c r="F243" t="s">
        <v>27</v>
      </c>
      <c r="G243" s="2">
        <v>142413</v>
      </c>
      <c r="H243" t="s">
        <v>20</v>
      </c>
      <c r="I243" s="1">
        <v>44622</v>
      </c>
      <c r="J243" t="str">
        <f t="shared" si="12"/>
        <v>Gen X</v>
      </c>
      <c r="K243" t="str" cm="1">
        <f t="array" ref="K243">_xlfn.IFS(G243&lt;=50000,"Low",G243&lt;=100000,"Medium",G243&lt;=150000,"High",G243&gt;=150001,"Premium")</f>
        <v>High</v>
      </c>
      <c r="L243" s="3">
        <f t="shared" ca="1" si="13"/>
        <v>3</v>
      </c>
      <c r="M243" t="str">
        <f t="shared" ca="1" si="14"/>
        <v>3-5yrs</v>
      </c>
      <c r="N243" s="3">
        <f t="shared" ca="1" si="15"/>
        <v>319</v>
      </c>
    </row>
    <row r="244" spans="1:14" x14ac:dyDescent="0.35">
      <c r="A244" t="s">
        <v>509</v>
      </c>
      <c r="B244" t="s">
        <v>510</v>
      </c>
      <c r="C244" t="s">
        <v>17</v>
      </c>
      <c r="D244">
        <v>35</v>
      </c>
      <c r="E244" t="s">
        <v>18</v>
      </c>
      <c r="F244" t="s">
        <v>37</v>
      </c>
      <c r="G244" s="2">
        <v>20526</v>
      </c>
      <c r="H244" t="s">
        <v>14</v>
      </c>
      <c r="I244" s="1">
        <v>43688</v>
      </c>
      <c r="J244" t="str">
        <f t="shared" si="12"/>
        <v>Millennials</v>
      </c>
      <c r="K244" t="str" cm="1">
        <f t="array" ref="K244">_xlfn.IFS(G244&lt;=50000,"Low",G244&lt;=100000,"Medium",G244&lt;=150000,"High",G244&gt;=150001,"Premium")</f>
        <v>Low</v>
      </c>
      <c r="L244" s="3">
        <f t="shared" ca="1" si="13"/>
        <v>6</v>
      </c>
      <c r="M244" t="str">
        <f t="shared" ca="1" si="14"/>
        <v>5yrs +</v>
      </c>
      <c r="N244" s="3">
        <f t="shared" ca="1" si="15"/>
        <v>169</v>
      </c>
    </row>
    <row r="245" spans="1:14" x14ac:dyDescent="0.35">
      <c r="A245" t="s">
        <v>511</v>
      </c>
      <c r="B245" t="s">
        <v>512</v>
      </c>
      <c r="C245" t="s">
        <v>11</v>
      </c>
      <c r="D245">
        <v>66</v>
      </c>
      <c r="E245" t="s">
        <v>12</v>
      </c>
      <c r="F245" t="s">
        <v>42</v>
      </c>
      <c r="G245" s="2">
        <v>88760</v>
      </c>
      <c r="H245" t="s">
        <v>24</v>
      </c>
      <c r="I245" s="1">
        <v>44922</v>
      </c>
      <c r="J245" t="str">
        <f t="shared" si="12"/>
        <v>Boomers</v>
      </c>
      <c r="K245" t="str" cm="1">
        <f t="array" ref="K245">_xlfn.IFS(G245&lt;=50000,"Low",G245&lt;=100000,"Medium",G245&lt;=150000,"High",G245&gt;=150001,"Premium")</f>
        <v>Medium</v>
      </c>
      <c r="L245" s="3">
        <f t="shared" ca="1" si="13"/>
        <v>2</v>
      </c>
      <c r="M245" t="str">
        <f t="shared" ca="1" si="14"/>
        <v>1-3yrs</v>
      </c>
      <c r="N245" s="3">
        <f t="shared" ca="1" si="15"/>
        <v>367</v>
      </c>
    </row>
    <row r="246" spans="1:14" x14ac:dyDescent="0.35">
      <c r="A246" t="s">
        <v>513</v>
      </c>
      <c r="B246" t="s">
        <v>514</v>
      </c>
      <c r="C246" t="s">
        <v>11</v>
      </c>
      <c r="D246">
        <v>56</v>
      </c>
      <c r="E246" t="s">
        <v>34</v>
      </c>
      <c r="F246" t="s">
        <v>37</v>
      </c>
      <c r="G246" s="2">
        <v>67837</v>
      </c>
      <c r="H246" t="s">
        <v>20</v>
      </c>
      <c r="I246" s="1">
        <v>43395</v>
      </c>
      <c r="J246" t="str">
        <f t="shared" si="12"/>
        <v>Gen X</v>
      </c>
      <c r="K246" t="str" cm="1">
        <f t="array" ref="K246">_xlfn.IFS(G246&lt;=50000,"Low",G246&lt;=100000,"Medium",G246&lt;=150000,"High",G246&gt;=150001,"Premium")</f>
        <v>Medium</v>
      </c>
      <c r="L246" s="3">
        <f t="shared" ca="1" si="13"/>
        <v>7</v>
      </c>
      <c r="M246" t="str">
        <f t="shared" ca="1" si="14"/>
        <v>5yrs +</v>
      </c>
      <c r="N246" s="3">
        <f t="shared" ca="1" si="15"/>
        <v>118</v>
      </c>
    </row>
    <row r="247" spans="1:14" x14ac:dyDescent="0.35">
      <c r="A247" t="s">
        <v>515</v>
      </c>
      <c r="B247" t="s">
        <v>516</v>
      </c>
      <c r="C247" t="s">
        <v>17</v>
      </c>
      <c r="D247">
        <v>49</v>
      </c>
      <c r="E247" t="s">
        <v>12</v>
      </c>
      <c r="F247" t="s">
        <v>31</v>
      </c>
      <c r="G247" s="2">
        <v>31536</v>
      </c>
      <c r="H247" t="s">
        <v>20</v>
      </c>
      <c r="I247" s="1">
        <v>43113</v>
      </c>
      <c r="J247" t="str">
        <f t="shared" si="12"/>
        <v>Gen X</v>
      </c>
      <c r="K247" t="str" cm="1">
        <f t="array" ref="K247">_xlfn.IFS(G247&lt;=50000,"Low",G247&lt;=100000,"Medium",G247&lt;=150000,"High",G247&gt;=150001,"Premium")</f>
        <v>Low</v>
      </c>
      <c r="L247" s="3">
        <f t="shared" ca="1" si="13"/>
        <v>7</v>
      </c>
      <c r="M247" t="str">
        <f t="shared" ca="1" si="14"/>
        <v>5yrs +</v>
      </c>
      <c r="N247" s="3">
        <f t="shared" ca="1" si="15"/>
        <v>118</v>
      </c>
    </row>
    <row r="248" spans="1:14" x14ac:dyDescent="0.35">
      <c r="A248" t="s">
        <v>517</v>
      </c>
      <c r="B248" t="s">
        <v>518</v>
      </c>
      <c r="C248" t="s">
        <v>11</v>
      </c>
      <c r="D248">
        <v>41</v>
      </c>
      <c r="E248" t="s">
        <v>12</v>
      </c>
      <c r="F248" t="s">
        <v>31</v>
      </c>
      <c r="G248" s="2">
        <v>48541</v>
      </c>
      <c r="H248" t="s">
        <v>14</v>
      </c>
      <c r="I248" s="1">
        <v>44257</v>
      </c>
      <c r="J248" t="str">
        <f t="shared" si="12"/>
        <v>Millennials</v>
      </c>
      <c r="K248" t="str" cm="1">
        <f t="array" ref="K248">_xlfn.IFS(G248&lt;=50000,"Low",G248&lt;=100000,"Medium",G248&lt;=150000,"High",G248&gt;=150001,"Premium")</f>
        <v>Low</v>
      </c>
      <c r="L248" s="3">
        <f t="shared" ca="1" si="13"/>
        <v>4</v>
      </c>
      <c r="M248" t="str">
        <f t="shared" ca="1" si="14"/>
        <v>3-5yrs</v>
      </c>
      <c r="N248" s="3">
        <f t="shared" ca="1" si="15"/>
        <v>273</v>
      </c>
    </row>
    <row r="249" spans="1:14" x14ac:dyDescent="0.35">
      <c r="A249" t="s">
        <v>519</v>
      </c>
      <c r="B249" t="s">
        <v>520</v>
      </c>
      <c r="C249" t="s">
        <v>11</v>
      </c>
      <c r="D249">
        <v>40</v>
      </c>
      <c r="E249" t="s">
        <v>12</v>
      </c>
      <c r="F249" t="s">
        <v>13</v>
      </c>
      <c r="G249" s="2">
        <v>99083</v>
      </c>
      <c r="H249" t="s">
        <v>20</v>
      </c>
      <c r="I249" s="1">
        <v>45179</v>
      </c>
      <c r="J249" t="str">
        <f t="shared" si="12"/>
        <v>Millennials</v>
      </c>
      <c r="K249" t="str" cm="1">
        <f t="array" ref="K249">_xlfn.IFS(G249&lt;=50000,"Low",G249&lt;=100000,"Medium",G249&lt;=150000,"High",G249&gt;=150001,"Premium")</f>
        <v>Medium</v>
      </c>
      <c r="L249" s="3">
        <f t="shared" ca="1" si="13"/>
        <v>2</v>
      </c>
      <c r="M249" t="str">
        <f t="shared" ca="1" si="14"/>
        <v>1-3yrs</v>
      </c>
      <c r="N249" s="3">
        <f t="shared" ca="1" si="15"/>
        <v>367</v>
      </c>
    </row>
    <row r="250" spans="1:14" x14ac:dyDescent="0.35">
      <c r="A250" t="s">
        <v>521</v>
      </c>
      <c r="B250" t="s">
        <v>522</v>
      </c>
      <c r="C250" t="s">
        <v>11</v>
      </c>
      <c r="D250">
        <v>49</v>
      </c>
      <c r="E250" t="s">
        <v>12</v>
      </c>
      <c r="F250" t="s">
        <v>31</v>
      </c>
      <c r="G250" s="2">
        <v>54531</v>
      </c>
      <c r="H250" t="s">
        <v>24</v>
      </c>
      <c r="I250" s="1">
        <v>44203</v>
      </c>
      <c r="J250" t="str">
        <f t="shared" si="12"/>
        <v>Gen X</v>
      </c>
      <c r="K250" t="str" cm="1">
        <f t="array" ref="K250">_xlfn.IFS(G250&lt;=50000,"Low",G250&lt;=100000,"Medium",G250&lt;=150000,"High",G250&gt;=150001,"Premium")</f>
        <v>Medium</v>
      </c>
      <c r="L250" s="3">
        <f t="shared" ca="1" si="13"/>
        <v>4</v>
      </c>
      <c r="M250" t="str">
        <f t="shared" ca="1" si="14"/>
        <v>3-5yrs</v>
      </c>
      <c r="N250" s="3">
        <f t="shared" ca="1" si="15"/>
        <v>273</v>
      </c>
    </row>
    <row r="251" spans="1:14" x14ac:dyDescent="0.35">
      <c r="A251" t="s">
        <v>523</v>
      </c>
      <c r="B251" t="s">
        <v>524</v>
      </c>
      <c r="C251" t="s">
        <v>11</v>
      </c>
      <c r="D251">
        <v>54</v>
      </c>
      <c r="E251" t="s">
        <v>34</v>
      </c>
      <c r="F251" t="s">
        <v>19</v>
      </c>
      <c r="G251" s="2">
        <v>28712</v>
      </c>
      <c r="H251" t="s">
        <v>14</v>
      </c>
      <c r="I251" s="1">
        <v>43294</v>
      </c>
      <c r="J251" t="str">
        <f t="shared" si="12"/>
        <v>Gen X</v>
      </c>
      <c r="K251" t="str" cm="1">
        <f t="array" ref="K251">_xlfn.IFS(G251&lt;=50000,"Low",G251&lt;=100000,"Medium",G251&lt;=150000,"High",G251&gt;=150001,"Premium")</f>
        <v>Low</v>
      </c>
      <c r="L251" s="3">
        <f t="shared" ca="1" si="13"/>
        <v>7</v>
      </c>
      <c r="M251" t="str">
        <f t="shared" ca="1" si="14"/>
        <v>5yrs +</v>
      </c>
      <c r="N251" s="3">
        <f t="shared" ca="1" si="15"/>
        <v>118</v>
      </c>
    </row>
    <row r="252" spans="1:14" x14ac:dyDescent="0.35">
      <c r="A252" t="s">
        <v>525</v>
      </c>
      <c r="B252" t="s">
        <v>526</v>
      </c>
      <c r="C252" t="s">
        <v>17</v>
      </c>
      <c r="D252">
        <v>29</v>
      </c>
      <c r="E252" t="s">
        <v>12</v>
      </c>
      <c r="F252" t="s">
        <v>23</v>
      </c>
      <c r="G252" s="2">
        <v>124101</v>
      </c>
      <c r="H252" t="s">
        <v>20</v>
      </c>
      <c r="I252" s="1">
        <v>45422</v>
      </c>
      <c r="J252" t="str">
        <f t="shared" si="12"/>
        <v>Millennials</v>
      </c>
      <c r="K252" t="str" cm="1">
        <f t="array" ref="K252">_xlfn.IFS(G252&lt;=50000,"Low",G252&lt;=100000,"Medium",G252&lt;=150000,"High",G252&gt;=150001,"Premium")</f>
        <v>High</v>
      </c>
      <c r="L252" s="3">
        <f t="shared" ca="1" si="13"/>
        <v>1</v>
      </c>
      <c r="M252" t="str">
        <f t="shared" ca="1" si="14"/>
        <v>1-3yrs</v>
      </c>
      <c r="N252" s="3">
        <f t="shared" ca="1" si="15"/>
        <v>422</v>
      </c>
    </row>
    <row r="253" spans="1:14" x14ac:dyDescent="0.35">
      <c r="A253" t="s">
        <v>527</v>
      </c>
      <c r="B253" t="s">
        <v>528</v>
      </c>
      <c r="C253" t="s">
        <v>11</v>
      </c>
      <c r="D253">
        <v>66</v>
      </c>
      <c r="E253" t="s">
        <v>34</v>
      </c>
      <c r="F253" t="s">
        <v>23</v>
      </c>
      <c r="G253" s="2">
        <v>85455</v>
      </c>
      <c r="H253" t="s">
        <v>20</v>
      </c>
      <c r="I253" s="1">
        <v>45078</v>
      </c>
      <c r="J253" t="str">
        <f t="shared" si="12"/>
        <v>Boomers</v>
      </c>
      <c r="K253" t="str" cm="1">
        <f t="array" ref="K253">_xlfn.IFS(G253&lt;=50000,"Low",G253&lt;=100000,"Medium",G253&lt;=150000,"High",G253&gt;=150001,"Premium")</f>
        <v>Medium</v>
      </c>
      <c r="L253" s="3">
        <f t="shared" ca="1" si="13"/>
        <v>2</v>
      </c>
      <c r="M253" t="str">
        <f t="shared" ca="1" si="14"/>
        <v>1-3yrs</v>
      </c>
      <c r="N253" s="3">
        <f t="shared" ca="1" si="15"/>
        <v>367</v>
      </c>
    </row>
    <row r="254" spans="1:14" x14ac:dyDescent="0.35">
      <c r="A254" t="s">
        <v>529</v>
      </c>
      <c r="B254" t="s">
        <v>530</v>
      </c>
      <c r="C254" t="s">
        <v>17</v>
      </c>
      <c r="D254">
        <v>72</v>
      </c>
      <c r="E254" t="s">
        <v>34</v>
      </c>
      <c r="F254" t="s">
        <v>27</v>
      </c>
      <c r="G254" s="2">
        <v>94744</v>
      </c>
      <c r="H254" t="s">
        <v>14</v>
      </c>
      <c r="I254" s="1">
        <v>43323</v>
      </c>
      <c r="J254" t="str">
        <f t="shared" si="12"/>
        <v>Boomers</v>
      </c>
      <c r="K254" t="str" cm="1">
        <f t="array" ref="K254">_xlfn.IFS(G254&lt;=50000,"Low",G254&lt;=100000,"Medium",G254&lt;=150000,"High",G254&gt;=150001,"Premium")</f>
        <v>Medium</v>
      </c>
      <c r="L254" s="3">
        <f t="shared" ca="1" si="13"/>
        <v>7</v>
      </c>
      <c r="M254" t="str">
        <f t="shared" ca="1" si="14"/>
        <v>5yrs +</v>
      </c>
      <c r="N254" s="3">
        <f t="shared" ca="1" si="15"/>
        <v>118</v>
      </c>
    </row>
    <row r="255" spans="1:14" x14ac:dyDescent="0.35">
      <c r="A255" t="s">
        <v>531</v>
      </c>
      <c r="B255" t="s">
        <v>532</v>
      </c>
      <c r="C255" t="s">
        <v>11</v>
      </c>
      <c r="D255">
        <v>30</v>
      </c>
      <c r="E255" t="s">
        <v>18</v>
      </c>
      <c r="F255" t="s">
        <v>27</v>
      </c>
      <c r="G255" s="2">
        <v>149749</v>
      </c>
      <c r="H255" t="s">
        <v>14</v>
      </c>
      <c r="I255" s="1">
        <v>42930</v>
      </c>
      <c r="J255" t="str">
        <f t="shared" si="12"/>
        <v>Millennials</v>
      </c>
      <c r="K255" t="str" cm="1">
        <f t="array" ref="K255">_xlfn.IFS(G255&lt;=50000,"Low",G255&lt;=100000,"Medium",G255&lt;=150000,"High",G255&gt;=150001,"Premium")</f>
        <v>High</v>
      </c>
      <c r="L255" s="3">
        <f t="shared" ca="1" si="13"/>
        <v>8</v>
      </c>
      <c r="M255" t="str">
        <f t="shared" ca="1" si="14"/>
        <v>5yrs +</v>
      </c>
      <c r="N255" s="3">
        <f t="shared" ca="1" si="15"/>
        <v>59</v>
      </c>
    </row>
    <row r="256" spans="1:14" x14ac:dyDescent="0.35">
      <c r="A256" t="s">
        <v>533</v>
      </c>
      <c r="B256" t="s">
        <v>534</v>
      </c>
      <c r="C256" t="s">
        <v>11</v>
      </c>
      <c r="D256">
        <v>40</v>
      </c>
      <c r="E256" t="s">
        <v>30</v>
      </c>
      <c r="F256" t="s">
        <v>23</v>
      </c>
      <c r="G256" s="2">
        <v>25109</v>
      </c>
      <c r="H256" t="s">
        <v>14</v>
      </c>
      <c r="I256" s="1">
        <v>42673</v>
      </c>
      <c r="J256" t="str">
        <f t="shared" si="12"/>
        <v>Millennials</v>
      </c>
      <c r="K256" t="str" cm="1">
        <f t="array" ref="K256">_xlfn.IFS(G256&lt;=50000,"Low",G256&lt;=100000,"Medium",G256&lt;=150000,"High",G256&gt;=150001,"Premium")</f>
        <v>Low</v>
      </c>
      <c r="L256" s="3">
        <f t="shared" ca="1" si="13"/>
        <v>9</v>
      </c>
      <c r="M256" t="str">
        <f t="shared" ca="1" si="14"/>
        <v>5yrs +</v>
      </c>
      <c r="N256" s="3">
        <f t="shared" ca="1" si="15"/>
        <v>17</v>
      </c>
    </row>
    <row r="257" spans="1:14" x14ac:dyDescent="0.35">
      <c r="A257" t="s">
        <v>535</v>
      </c>
      <c r="B257" t="s">
        <v>536</v>
      </c>
      <c r="C257" t="s">
        <v>11</v>
      </c>
      <c r="D257">
        <v>42</v>
      </c>
      <c r="E257" t="s">
        <v>30</v>
      </c>
      <c r="F257" t="s">
        <v>42</v>
      </c>
      <c r="G257" s="2">
        <v>69268</v>
      </c>
      <c r="H257" t="s">
        <v>14</v>
      </c>
      <c r="I257" s="1">
        <v>44081</v>
      </c>
      <c r="J257" t="str">
        <f t="shared" si="12"/>
        <v>Millennials</v>
      </c>
      <c r="K257" t="str" cm="1">
        <f t="array" ref="K257">_xlfn.IFS(G257&lt;=50000,"Low",G257&lt;=100000,"Medium",G257&lt;=150000,"High",G257&gt;=150001,"Premium")</f>
        <v>Medium</v>
      </c>
      <c r="L257" s="3">
        <f t="shared" ca="1" si="13"/>
        <v>5</v>
      </c>
      <c r="M257" t="str">
        <f t="shared" ca="1" si="14"/>
        <v>5yrs +</v>
      </c>
      <c r="N257" s="3">
        <f t="shared" ca="1" si="15"/>
        <v>227</v>
      </c>
    </row>
    <row r="258" spans="1:14" x14ac:dyDescent="0.35">
      <c r="A258" t="s">
        <v>537</v>
      </c>
      <c r="B258" t="s">
        <v>538</v>
      </c>
      <c r="C258" t="s">
        <v>11</v>
      </c>
      <c r="D258">
        <v>52</v>
      </c>
      <c r="E258" t="s">
        <v>34</v>
      </c>
      <c r="F258" t="s">
        <v>27</v>
      </c>
      <c r="G258" s="2">
        <v>74615</v>
      </c>
      <c r="H258" t="s">
        <v>14</v>
      </c>
      <c r="I258" s="1">
        <v>42953</v>
      </c>
      <c r="J258" t="str">
        <f t="shared" ref="J258:J321" si="16">IF(D258&lt;=28, "Gen Z",IF(D258&lt;=44,"Millennials",IF(D258&lt;=60, "Gen X","Boomers")))</f>
        <v>Gen X</v>
      </c>
      <c r="K258" t="str" cm="1">
        <f t="array" ref="K258">_xlfn.IFS(G258&lt;=50000,"Low",G258&lt;=100000,"Medium",G258&lt;=150000,"High",G258&gt;=150001,"Premium")</f>
        <v>Medium</v>
      </c>
      <c r="L258" s="3">
        <f t="shared" ref="L258:L321" ca="1" si="17">YEAR(TODAY())-YEAR(I258)-(DATE(YEAR(TODAY()),MONTH(I258),DAY(I258))&gt;TODAY())</f>
        <v>8</v>
      </c>
      <c r="M258" t="str">
        <f t="shared" ref="M258:M321" ca="1" si="18">IF(L258&lt;1,"0-1yr",IF(L258&lt;3,"1-3yrs",IF(L258&lt;5,"3-5yrs","5yrs +")))</f>
        <v>5yrs +</v>
      </c>
      <c r="N258" s="3">
        <f t="shared" ref="N258:N321" ca="1" si="19">COUNTIFS($L$2:$L$501,"&gt;"&amp;L258)+1</f>
        <v>59</v>
      </c>
    </row>
    <row r="259" spans="1:14" x14ac:dyDescent="0.35">
      <c r="A259" t="s">
        <v>539</v>
      </c>
      <c r="B259" t="s">
        <v>540</v>
      </c>
      <c r="C259" t="s">
        <v>17</v>
      </c>
      <c r="D259">
        <v>58</v>
      </c>
      <c r="E259" t="s">
        <v>18</v>
      </c>
      <c r="F259" t="s">
        <v>13</v>
      </c>
      <c r="G259" s="2">
        <v>102503</v>
      </c>
      <c r="H259" t="s">
        <v>14</v>
      </c>
      <c r="I259" s="1">
        <v>45819</v>
      </c>
      <c r="J259" t="str">
        <f t="shared" si="16"/>
        <v>Gen X</v>
      </c>
      <c r="K259" t="str" cm="1">
        <f t="array" ref="K259">_xlfn.IFS(G259&lt;=50000,"Low",G259&lt;=100000,"Medium",G259&lt;=150000,"High",G259&gt;=150001,"Premium")</f>
        <v>High</v>
      </c>
      <c r="L259" s="3">
        <f t="shared" ca="1" si="17"/>
        <v>0</v>
      </c>
      <c r="M259" t="str">
        <f t="shared" ca="1" si="18"/>
        <v>0-1yr</v>
      </c>
      <c r="N259" s="3">
        <f t="shared" ca="1" si="19"/>
        <v>475</v>
      </c>
    </row>
    <row r="260" spans="1:14" x14ac:dyDescent="0.35">
      <c r="A260" t="s">
        <v>541</v>
      </c>
      <c r="B260" t="s">
        <v>542</v>
      </c>
      <c r="C260" t="s">
        <v>17</v>
      </c>
      <c r="D260">
        <v>47</v>
      </c>
      <c r="E260" t="s">
        <v>34</v>
      </c>
      <c r="F260" t="s">
        <v>31</v>
      </c>
      <c r="G260" s="2">
        <v>180831</v>
      </c>
      <c r="H260" t="s">
        <v>14</v>
      </c>
      <c r="I260" s="1">
        <v>44115</v>
      </c>
      <c r="J260" t="str">
        <f t="shared" si="16"/>
        <v>Gen X</v>
      </c>
      <c r="K260" t="str" cm="1">
        <f t="array" ref="K260">_xlfn.IFS(G260&lt;=50000,"Low",G260&lt;=100000,"Medium",G260&lt;=150000,"High",G260&gt;=150001,"Premium")</f>
        <v>Premium</v>
      </c>
      <c r="L260" s="3">
        <f t="shared" ca="1" si="17"/>
        <v>5</v>
      </c>
      <c r="M260" t="str">
        <f t="shared" ca="1" si="18"/>
        <v>5yrs +</v>
      </c>
      <c r="N260" s="3">
        <f t="shared" ca="1" si="19"/>
        <v>227</v>
      </c>
    </row>
    <row r="261" spans="1:14" x14ac:dyDescent="0.35">
      <c r="A261" t="s">
        <v>543</v>
      </c>
      <c r="B261" t="s">
        <v>544</v>
      </c>
      <c r="C261" t="s">
        <v>11</v>
      </c>
      <c r="D261">
        <v>34</v>
      </c>
      <c r="E261" t="s">
        <v>34</v>
      </c>
      <c r="F261" t="s">
        <v>23</v>
      </c>
      <c r="G261" s="2">
        <v>105708</v>
      </c>
      <c r="H261" t="s">
        <v>14</v>
      </c>
      <c r="I261" s="1">
        <v>44588</v>
      </c>
      <c r="J261" t="str">
        <f t="shared" si="16"/>
        <v>Millennials</v>
      </c>
      <c r="K261" t="str" cm="1">
        <f t="array" ref="K261">_xlfn.IFS(G261&lt;=50000,"Low",G261&lt;=100000,"Medium",G261&lt;=150000,"High",G261&gt;=150001,"Premium")</f>
        <v>High</v>
      </c>
      <c r="L261" s="3">
        <f t="shared" ca="1" si="17"/>
        <v>3</v>
      </c>
      <c r="M261" t="str">
        <f t="shared" ca="1" si="18"/>
        <v>3-5yrs</v>
      </c>
      <c r="N261" s="3">
        <f t="shared" ca="1" si="19"/>
        <v>319</v>
      </c>
    </row>
    <row r="262" spans="1:14" x14ac:dyDescent="0.35">
      <c r="A262" t="s">
        <v>545</v>
      </c>
      <c r="B262" t="s">
        <v>546</v>
      </c>
      <c r="C262" t="s">
        <v>11</v>
      </c>
      <c r="D262">
        <v>66</v>
      </c>
      <c r="E262" t="s">
        <v>34</v>
      </c>
      <c r="F262" t="s">
        <v>27</v>
      </c>
      <c r="G262" s="2">
        <v>122471</v>
      </c>
      <c r="H262" t="s">
        <v>24</v>
      </c>
      <c r="I262" s="1">
        <v>43744</v>
      </c>
      <c r="J262" t="str">
        <f t="shared" si="16"/>
        <v>Boomers</v>
      </c>
      <c r="K262" t="str" cm="1">
        <f t="array" ref="K262">_xlfn.IFS(G262&lt;=50000,"Low",G262&lt;=100000,"Medium",G262&lt;=150000,"High",G262&gt;=150001,"Premium")</f>
        <v>High</v>
      </c>
      <c r="L262" s="3">
        <f t="shared" ca="1" si="17"/>
        <v>6</v>
      </c>
      <c r="M262" t="str">
        <f t="shared" ca="1" si="18"/>
        <v>5yrs +</v>
      </c>
      <c r="N262" s="3">
        <f t="shared" ca="1" si="19"/>
        <v>169</v>
      </c>
    </row>
    <row r="263" spans="1:14" x14ac:dyDescent="0.35">
      <c r="A263" t="s">
        <v>547</v>
      </c>
      <c r="B263" t="s">
        <v>548</v>
      </c>
      <c r="C263" t="s">
        <v>17</v>
      </c>
      <c r="D263">
        <v>37</v>
      </c>
      <c r="E263" t="s">
        <v>18</v>
      </c>
      <c r="F263" t="s">
        <v>23</v>
      </c>
      <c r="G263" s="2">
        <v>177661</v>
      </c>
      <c r="H263" t="s">
        <v>14</v>
      </c>
      <c r="I263" s="1">
        <v>45516</v>
      </c>
      <c r="J263" t="str">
        <f t="shared" si="16"/>
        <v>Millennials</v>
      </c>
      <c r="K263" t="str" cm="1">
        <f t="array" ref="K263">_xlfn.IFS(G263&lt;=50000,"Low",G263&lt;=100000,"Medium",G263&lt;=150000,"High",G263&gt;=150001,"Premium")</f>
        <v>Premium</v>
      </c>
      <c r="L263" s="3">
        <f t="shared" ca="1" si="17"/>
        <v>1</v>
      </c>
      <c r="M263" t="str">
        <f t="shared" ca="1" si="18"/>
        <v>1-3yrs</v>
      </c>
      <c r="N263" s="3">
        <f t="shared" ca="1" si="19"/>
        <v>422</v>
      </c>
    </row>
    <row r="264" spans="1:14" x14ac:dyDescent="0.35">
      <c r="A264" t="s">
        <v>549</v>
      </c>
      <c r="B264" t="s">
        <v>550</v>
      </c>
      <c r="C264" t="s">
        <v>11</v>
      </c>
      <c r="D264">
        <v>65</v>
      </c>
      <c r="E264" t="s">
        <v>30</v>
      </c>
      <c r="F264" t="s">
        <v>19</v>
      </c>
      <c r="G264" s="2">
        <v>181087</v>
      </c>
      <c r="H264" t="s">
        <v>24</v>
      </c>
      <c r="I264" s="1">
        <v>43829</v>
      </c>
      <c r="J264" t="str">
        <f t="shared" si="16"/>
        <v>Boomers</v>
      </c>
      <c r="K264" t="str" cm="1">
        <f t="array" ref="K264">_xlfn.IFS(G264&lt;=50000,"Low",G264&lt;=100000,"Medium",G264&lt;=150000,"High",G264&gt;=150001,"Premium")</f>
        <v>Premium</v>
      </c>
      <c r="L264" s="3">
        <f t="shared" ca="1" si="17"/>
        <v>5</v>
      </c>
      <c r="M264" t="str">
        <f t="shared" ca="1" si="18"/>
        <v>5yrs +</v>
      </c>
      <c r="N264" s="3">
        <f t="shared" ca="1" si="19"/>
        <v>227</v>
      </c>
    </row>
    <row r="265" spans="1:14" x14ac:dyDescent="0.35">
      <c r="A265" t="s">
        <v>551</v>
      </c>
      <c r="B265" t="s">
        <v>552</v>
      </c>
      <c r="C265" t="s">
        <v>11</v>
      </c>
      <c r="D265">
        <v>42</v>
      </c>
      <c r="E265" t="s">
        <v>18</v>
      </c>
      <c r="F265" t="s">
        <v>37</v>
      </c>
      <c r="G265" s="2">
        <v>180081</v>
      </c>
      <c r="H265" t="s">
        <v>14</v>
      </c>
      <c r="I265" s="1">
        <v>42297</v>
      </c>
      <c r="J265" t="str">
        <f t="shared" si="16"/>
        <v>Millennials</v>
      </c>
      <c r="K265" t="str" cm="1">
        <f t="array" ref="K265">_xlfn.IFS(G265&lt;=50000,"Low",G265&lt;=100000,"Medium",G265&lt;=150000,"High",G265&gt;=150001,"Premium")</f>
        <v>Premium</v>
      </c>
      <c r="L265" s="3">
        <f t="shared" ca="1" si="17"/>
        <v>10</v>
      </c>
      <c r="M265" t="str">
        <f t="shared" ca="1" si="18"/>
        <v>5yrs +</v>
      </c>
      <c r="N265" s="3">
        <f t="shared" ca="1" si="19"/>
        <v>1</v>
      </c>
    </row>
    <row r="266" spans="1:14" x14ac:dyDescent="0.35">
      <c r="A266" t="s">
        <v>553</v>
      </c>
      <c r="B266" t="s">
        <v>554</v>
      </c>
      <c r="C266" t="s">
        <v>11</v>
      </c>
      <c r="D266">
        <v>39</v>
      </c>
      <c r="E266" t="s">
        <v>12</v>
      </c>
      <c r="F266" t="s">
        <v>31</v>
      </c>
      <c r="G266" s="2">
        <v>103309</v>
      </c>
      <c r="H266" t="s">
        <v>14</v>
      </c>
      <c r="I266" s="1">
        <v>44102</v>
      </c>
      <c r="J266" t="str">
        <f t="shared" si="16"/>
        <v>Millennials</v>
      </c>
      <c r="K266" t="str" cm="1">
        <f t="array" ref="K266">_xlfn.IFS(G266&lt;=50000,"Low",G266&lt;=100000,"Medium",G266&lt;=150000,"High",G266&gt;=150001,"Premium")</f>
        <v>High</v>
      </c>
      <c r="L266" s="3">
        <f t="shared" ca="1" si="17"/>
        <v>5</v>
      </c>
      <c r="M266" t="str">
        <f t="shared" ca="1" si="18"/>
        <v>5yrs +</v>
      </c>
      <c r="N266" s="3">
        <f t="shared" ca="1" si="19"/>
        <v>227</v>
      </c>
    </row>
    <row r="267" spans="1:14" x14ac:dyDescent="0.35">
      <c r="A267" t="s">
        <v>555</v>
      </c>
      <c r="B267" t="s">
        <v>556</v>
      </c>
      <c r="C267" t="s">
        <v>17</v>
      </c>
      <c r="D267">
        <v>30</v>
      </c>
      <c r="E267" t="s">
        <v>18</v>
      </c>
      <c r="F267" t="s">
        <v>23</v>
      </c>
      <c r="G267" s="2">
        <v>146446</v>
      </c>
      <c r="H267" t="s">
        <v>14</v>
      </c>
      <c r="I267" s="1">
        <v>42770</v>
      </c>
      <c r="J267" t="str">
        <f t="shared" si="16"/>
        <v>Millennials</v>
      </c>
      <c r="K267" t="str" cm="1">
        <f t="array" ref="K267">_xlfn.IFS(G267&lt;=50000,"Low",G267&lt;=100000,"Medium",G267&lt;=150000,"High",G267&gt;=150001,"Premium")</f>
        <v>High</v>
      </c>
      <c r="L267" s="3">
        <f t="shared" ca="1" si="17"/>
        <v>8</v>
      </c>
      <c r="M267" t="str">
        <f t="shared" ca="1" si="18"/>
        <v>5yrs +</v>
      </c>
      <c r="N267" s="3">
        <f t="shared" ca="1" si="19"/>
        <v>59</v>
      </c>
    </row>
    <row r="268" spans="1:14" x14ac:dyDescent="0.35">
      <c r="A268" t="s">
        <v>557</v>
      </c>
      <c r="B268" t="s">
        <v>558</v>
      </c>
      <c r="C268" t="s">
        <v>17</v>
      </c>
      <c r="D268">
        <v>36</v>
      </c>
      <c r="E268" t="s">
        <v>18</v>
      </c>
      <c r="F268" t="s">
        <v>37</v>
      </c>
      <c r="G268" s="2">
        <v>126661</v>
      </c>
      <c r="H268" t="s">
        <v>14</v>
      </c>
      <c r="I268" s="1">
        <v>44437</v>
      </c>
      <c r="J268" t="str">
        <f t="shared" si="16"/>
        <v>Millennials</v>
      </c>
      <c r="K268" t="str" cm="1">
        <f t="array" ref="K268">_xlfn.IFS(G268&lt;=50000,"Low",G268&lt;=100000,"Medium",G268&lt;=150000,"High",G268&gt;=150001,"Premium")</f>
        <v>High</v>
      </c>
      <c r="L268" s="3">
        <f t="shared" ca="1" si="17"/>
        <v>4</v>
      </c>
      <c r="M268" t="str">
        <f t="shared" ca="1" si="18"/>
        <v>3-5yrs</v>
      </c>
      <c r="N268" s="3">
        <f t="shared" ca="1" si="19"/>
        <v>273</v>
      </c>
    </row>
    <row r="269" spans="1:14" x14ac:dyDescent="0.35">
      <c r="A269" t="s">
        <v>559</v>
      </c>
      <c r="B269" t="s">
        <v>560</v>
      </c>
      <c r="C269" t="s">
        <v>17</v>
      </c>
      <c r="D269">
        <v>66</v>
      </c>
      <c r="E269" t="s">
        <v>18</v>
      </c>
      <c r="F269" t="s">
        <v>27</v>
      </c>
      <c r="G269" s="2">
        <v>177215</v>
      </c>
      <c r="H269" t="s">
        <v>14</v>
      </c>
      <c r="I269" s="1">
        <v>43819</v>
      </c>
      <c r="J269" t="str">
        <f t="shared" si="16"/>
        <v>Boomers</v>
      </c>
      <c r="K269" t="str" cm="1">
        <f t="array" ref="K269">_xlfn.IFS(G269&lt;=50000,"Low",G269&lt;=100000,"Medium",G269&lt;=150000,"High",G269&gt;=150001,"Premium")</f>
        <v>Premium</v>
      </c>
      <c r="L269" s="3">
        <f t="shared" ca="1" si="17"/>
        <v>5</v>
      </c>
      <c r="M269" t="str">
        <f t="shared" ca="1" si="18"/>
        <v>5yrs +</v>
      </c>
      <c r="N269" s="3">
        <f t="shared" ca="1" si="19"/>
        <v>227</v>
      </c>
    </row>
    <row r="270" spans="1:14" x14ac:dyDescent="0.35">
      <c r="A270" t="s">
        <v>561</v>
      </c>
      <c r="B270" t="s">
        <v>562</v>
      </c>
      <c r="C270" t="s">
        <v>11</v>
      </c>
      <c r="D270">
        <v>53</v>
      </c>
      <c r="E270" t="s">
        <v>18</v>
      </c>
      <c r="F270" t="s">
        <v>37</v>
      </c>
      <c r="G270" s="2">
        <v>26154</v>
      </c>
      <c r="H270" t="s">
        <v>20</v>
      </c>
      <c r="I270" s="1">
        <v>43150</v>
      </c>
      <c r="J270" t="str">
        <f t="shared" si="16"/>
        <v>Gen X</v>
      </c>
      <c r="K270" t="str" cm="1">
        <f t="array" ref="K270">_xlfn.IFS(G270&lt;=50000,"Low",G270&lt;=100000,"Medium",G270&lt;=150000,"High",G270&gt;=150001,"Premium")</f>
        <v>Low</v>
      </c>
      <c r="L270" s="3">
        <f t="shared" ca="1" si="17"/>
        <v>7</v>
      </c>
      <c r="M270" t="str">
        <f t="shared" ca="1" si="18"/>
        <v>5yrs +</v>
      </c>
      <c r="N270" s="3">
        <f t="shared" ca="1" si="19"/>
        <v>118</v>
      </c>
    </row>
    <row r="271" spans="1:14" x14ac:dyDescent="0.35">
      <c r="A271" t="s">
        <v>563</v>
      </c>
      <c r="B271" t="s">
        <v>564</v>
      </c>
      <c r="C271" t="s">
        <v>11</v>
      </c>
      <c r="D271">
        <v>29</v>
      </c>
      <c r="E271" t="s">
        <v>30</v>
      </c>
      <c r="F271" t="s">
        <v>31</v>
      </c>
      <c r="G271" s="2">
        <v>172876</v>
      </c>
      <c r="H271" t="s">
        <v>14</v>
      </c>
      <c r="I271" s="1">
        <v>42737</v>
      </c>
      <c r="J271" t="str">
        <f t="shared" si="16"/>
        <v>Millennials</v>
      </c>
      <c r="K271" t="str" cm="1">
        <f t="array" ref="K271">_xlfn.IFS(G271&lt;=50000,"Low",G271&lt;=100000,"Medium",G271&lt;=150000,"High",G271&gt;=150001,"Premium")</f>
        <v>Premium</v>
      </c>
      <c r="L271" s="3">
        <f t="shared" ca="1" si="17"/>
        <v>8</v>
      </c>
      <c r="M271" t="str">
        <f t="shared" ca="1" si="18"/>
        <v>5yrs +</v>
      </c>
      <c r="N271" s="3">
        <f t="shared" ca="1" si="19"/>
        <v>59</v>
      </c>
    </row>
    <row r="272" spans="1:14" x14ac:dyDescent="0.35">
      <c r="A272" t="s">
        <v>565</v>
      </c>
      <c r="B272" t="s">
        <v>566</v>
      </c>
      <c r="C272" t="s">
        <v>17</v>
      </c>
      <c r="D272">
        <v>58</v>
      </c>
      <c r="E272" t="s">
        <v>12</v>
      </c>
      <c r="F272" t="s">
        <v>23</v>
      </c>
      <c r="G272" s="2">
        <v>192760</v>
      </c>
      <c r="H272" t="s">
        <v>20</v>
      </c>
      <c r="I272" s="1">
        <v>45051</v>
      </c>
      <c r="J272" t="str">
        <f t="shared" si="16"/>
        <v>Gen X</v>
      </c>
      <c r="K272" t="str" cm="1">
        <f t="array" ref="K272">_xlfn.IFS(G272&lt;=50000,"Low",G272&lt;=100000,"Medium",G272&lt;=150000,"High",G272&gt;=150001,"Premium")</f>
        <v>Premium</v>
      </c>
      <c r="L272" s="3">
        <f t="shared" ca="1" si="17"/>
        <v>2</v>
      </c>
      <c r="M272" t="str">
        <f t="shared" ca="1" si="18"/>
        <v>1-3yrs</v>
      </c>
      <c r="N272" s="3">
        <f t="shared" ca="1" si="19"/>
        <v>367</v>
      </c>
    </row>
    <row r="273" spans="1:14" x14ac:dyDescent="0.35">
      <c r="A273" t="s">
        <v>567</v>
      </c>
      <c r="B273" t="s">
        <v>568</v>
      </c>
      <c r="C273" t="s">
        <v>17</v>
      </c>
      <c r="D273">
        <v>36</v>
      </c>
      <c r="E273" t="s">
        <v>30</v>
      </c>
      <c r="F273" t="s">
        <v>19</v>
      </c>
      <c r="G273" s="2">
        <v>84288</v>
      </c>
      <c r="H273" t="s">
        <v>20</v>
      </c>
      <c r="I273" s="1">
        <v>43890</v>
      </c>
      <c r="J273" t="str">
        <f t="shared" si="16"/>
        <v>Millennials</v>
      </c>
      <c r="K273" t="str" cm="1">
        <f t="array" ref="K273">_xlfn.IFS(G273&lt;=50000,"Low",G273&lt;=100000,"Medium",G273&lt;=150000,"High",G273&gt;=150001,"Premium")</f>
        <v>Medium</v>
      </c>
      <c r="L273" s="3">
        <f t="shared" ca="1" si="17"/>
        <v>5</v>
      </c>
      <c r="M273" t="str">
        <f t="shared" ca="1" si="18"/>
        <v>5yrs +</v>
      </c>
      <c r="N273" s="3">
        <f t="shared" ca="1" si="19"/>
        <v>227</v>
      </c>
    </row>
    <row r="274" spans="1:14" x14ac:dyDescent="0.35">
      <c r="A274" t="s">
        <v>569</v>
      </c>
      <c r="B274" t="s">
        <v>570</v>
      </c>
      <c r="C274" t="s">
        <v>17</v>
      </c>
      <c r="D274">
        <v>29</v>
      </c>
      <c r="E274" t="s">
        <v>30</v>
      </c>
      <c r="F274" t="s">
        <v>42</v>
      </c>
      <c r="G274" s="2">
        <v>71195</v>
      </c>
      <c r="H274" t="s">
        <v>14</v>
      </c>
      <c r="I274" s="1">
        <v>44008</v>
      </c>
      <c r="J274" t="str">
        <f t="shared" si="16"/>
        <v>Millennials</v>
      </c>
      <c r="K274" t="str" cm="1">
        <f t="array" ref="K274">_xlfn.IFS(G274&lt;=50000,"Low",G274&lt;=100000,"Medium",G274&lt;=150000,"High",G274&gt;=150001,"Premium")</f>
        <v>Medium</v>
      </c>
      <c r="L274" s="3">
        <f t="shared" ca="1" si="17"/>
        <v>5</v>
      </c>
      <c r="M274" t="str">
        <f t="shared" ca="1" si="18"/>
        <v>5yrs +</v>
      </c>
      <c r="N274" s="3">
        <f t="shared" ca="1" si="19"/>
        <v>227</v>
      </c>
    </row>
    <row r="275" spans="1:14" x14ac:dyDescent="0.35">
      <c r="A275" t="s">
        <v>571</v>
      </c>
      <c r="B275" t="s">
        <v>572</v>
      </c>
      <c r="C275" t="s">
        <v>17</v>
      </c>
      <c r="D275">
        <v>26</v>
      </c>
      <c r="E275" t="s">
        <v>18</v>
      </c>
      <c r="F275" t="s">
        <v>27</v>
      </c>
      <c r="G275" s="2">
        <v>40581</v>
      </c>
      <c r="H275" t="s">
        <v>14</v>
      </c>
      <c r="I275" s="1">
        <v>45559</v>
      </c>
      <c r="J275" t="str">
        <f t="shared" si="16"/>
        <v>Gen Z</v>
      </c>
      <c r="K275" t="str" cm="1">
        <f t="array" ref="K275">_xlfn.IFS(G275&lt;=50000,"Low",G275&lt;=100000,"Medium",G275&lt;=150000,"High",G275&gt;=150001,"Premium")</f>
        <v>Low</v>
      </c>
      <c r="L275" s="3">
        <f t="shared" ca="1" si="17"/>
        <v>1</v>
      </c>
      <c r="M275" t="str">
        <f t="shared" ca="1" si="18"/>
        <v>1-3yrs</v>
      </c>
      <c r="N275" s="3">
        <f t="shared" ca="1" si="19"/>
        <v>422</v>
      </c>
    </row>
    <row r="276" spans="1:14" x14ac:dyDescent="0.35">
      <c r="A276" t="s">
        <v>573</v>
      </c>
      <c r="B276" t="s">
        <v>574</v>
      </c>
      <c r="C276" t="s">
        <v>11</v>
      </c>
      <c r="D276">
        <v>24</v>
      </c>
      <c r="E276" t="s">
        <v>34</v>
      </c>
      <c r="F276" t="s">
        <v>23</v>
      </c>
      <c r="G276" s="2">
        <v>50087</v>
      </c>
      <c r="H276" t="s">
        <v>20</v>
      </c>
      <c r="I276" s="1">
        <v>43775</v>
      </c>
      <c r="J276" t="str">
        <f t="shared" si="16"/>
        <v>Gen Z</v>
      </c>
      <c r="K276" t="str" cm="1">
        <f t="array" ref="K276">_xlfn.IFS(G276&lt;=50000,"Low",G276&lt;=100000,"Medium",G276&lt;=150000,"High",G276&gt;=150001,"Premium")</f>
        <v>Medium</v>
      </c>
      <c r="L276" s="3">
        <f t="shared" ca="1" si="17"/>
        <v>6</v>
      </c>
      <c r="M276" t="str">
        <f t="shared" ca="1" si="18"/>
        <v>5yrs +</v>
      </c>
      <c r="N276" s="3">
        <f t="shared" ca="1" si="19"/>
        <v>169</v>
      </c>
    </row>
    <row r="277" spans="1:14" x14ac:dyDescent="0.35">
      <c r="A277" t="s">
        <v>575</v>
      </c>
      <c r="B277" t="s">
        <v>576</v>
      </c>
      <c r="C277" t="s">
        <v>17</v>
      </c>
      <c r="D277">
        <v>45</v>
      </c>
      <c r="E277" t="s">
        <v>34</v>
      </c>
      <c r="F277" t="s">
        <v>31</v>
      </c>
      <c r="G277" s="2">
        <v>184053</v>
      </c>
      <c r="H277" t="s">
        <v>14</v>
      </c>
      <c r="I277" s="1">
        <v>44122</v>
      </c>
      <c r="J277" t="str">
        <f t="shared" si="16"/>
        <v>Gen X</v>
      </c>
      <c r="K277" t="str" cm="1">
        <f t="array" ref="K277">_xlfn.IFS(G277&lt;=50000,"Low",G277&lt;=100000,"Medium",G277&lt;=150000,"High",G277&gt;=150001,"Premium")</f>
        <v>Premium</v>
      </c>
      <c r="L277" s="3">
        <f t="shared" ca="1" si="17"/>
        <v>5</v>
      </c>
      <c r="M277" t="str">
        <f t="shared" ca="1" si="18"/>
        <v>5yrs +</v>
      </c>
      <c r="N277" s="3">
        <f t="shared" ca="1" si="19"/>
        <v>227</v>
      </c>
    </row>
    <row r="278" spans="1:14" x14ac:dyDescent="0.35">
      <c r="A278" t="s">
        <v>577</v>
      </c>
      <c r="B278" t="s">
        <v>578</v>
      </c>
      <c r="C278" t="s">
        <v>11</v>
      </c>
      <c r="D278">
        <v>31</v>
      </c>
      <c r="E278" t="s">
        <v>30</v>
      </c>
      <c r="F278" t="s">
        <v>27</v>
      </c>
      <c r="G278" s="2">
        <v>89298</v>
      </c>
      <c r="H278" t="s">
        <v>14</v>
      </c>
      <c r="I278" s="1">
        <v>43083</v>
      </c>
      <c r="J278" t="str">
        <f t="shared" si="16"/>
        <v>Millennials</v>
      </c>
      <c r="K278" t="str" cm="1">
        <f t="array" ref="K278">_xlfn.IFS(G278&lt;=50000,"Low",G278&lt;=100000,"Medium",G278&lt;=150000,"High",G278&gt;=150001,"Premium")</f>
        <v>Medium</v>
      </c>
      <c r="L278" s="3">
        <f t="shared" ca="1" si="17"/>
        <v>7</v>
      </c>
      <c r="M278" t="str">
        <f t="shared" ca="1" si="18"/>
        <v>5yrs +</v>
      </c>
      <c r="N278" s="3">
        <f t="shared" ca="1" si="19"/>
        <v>118</v>
      </c>
    </row>
    <row r="279" spans="1:14" x14ac:dyDescent="0.35">
      <c r="A279" t="s">
        <v>579</v>
      </c>
      <c r="B279" t="s">
        <v>580</v>
      </c>
      <c r="C279" t="s">
        <v>17</v>
      </c>
      <c r="D279">
        <v>48</v>
      </c>
      <c r="E279" t="s">
        <v>30</v>
      </c>
      <c r="F279" t="s">
        <v>13</v>
      </c>
      <c r="G279" s="2">
        <v>66167</v>
      </c>
      <c r="H279" t="s">
        <v>24</v>
      </c>
      <c r="I279" s="1">
        <v>43497</v>
      </c>
      <c r="J279" t="str">
        <f t="shared" si="16"/>
        <v>Gen X</v>
      </c>
      <c r="K279" t="str" cm="1">
        <f t="array" ref="K279">_xlfn.IFS(G279&lt;=50000,"Low",G279&lt;=100000,"Medium",G279&lt;=150000,"High",G279&gt;=150001,"Premium")</f>
        <v>Medium</v>
      </c>
      <c r="L279" s="3">
        <f t="shared" ca="1" si="17"/>
        <v>6</v>
      </c>
      <c r="M279" t="str">
        <f t="shared" ca="1" si="18"/>
        <v>5yrs +</v>
      </c>
      <c r="N279" s="3">
        <f t="shared" ca="1" si="19"/>
        <v>169</v>
      </c>
    </row>
    <row r="280" spans="1:14" x14ac:dyDescent="0.35">
      <c r="A280" t="s">
        <v>581</v>
      </c>
      <c r="B280" t="s">
        <v>582</v>
      </c>
      <c r="C280" t="s">
        <v>11</v>
      </c>
      <c r="D280">
        <v>69</v>
      </c>
      <c r="E280" t="s">
        <v>18</v>
      </c>
      <c r="F280" t="s">
        <v>37</v>
      </c>
      <c r="G280" s="2">
        <v>194480</v>
      </c>
      <c r="H280" t="s">
        <v>14</v>
      </c>
      <c r="I280" s="1">
        <v>43316</v>
      </c>
      <c r="J280" t="str">
        <f t="shared" si="16"/>
        <v>Boomers</v>
      </c>
      <c r="K280" t="str" cm="1">
        <f t="array" ref="K280">_xlfn.IFS(G280&lt;=50000,"Low",G280&lt;=100000,"Medium",G280&lt;=150000,"High",G280&gt;=150001,"Premium")</f>
        <v>Premium</v>
      </c>
      <c r="L280" s="3">
        <f t="shared" ca="1" si="17"/>
        <v>7</v>
      </c>
      <c r="M280" t="str">
        <f t="shared" ca="1" si="18"/>
        <v>5yrs +</v>
      </c>
      <c r="N280" s="3">
        <f t="shared" ca="1" si="19"/>
        <v>118</v>
      </c>
    </row>
    <row r="281" spans="1:14" x14ac:dyDescent="0.35">
      <c r="A281" t="s">
        <v>583</v>
      </c>
      <c r="B281" t="s">
        <v>584</v>
      </c>
      <c r="C281" t="s">
        <v>17</v>
      </c>
      <c r="D281">
        <v>36</v>
      </c>
      <c r="E281" t="s">
        <v>30</v>
      </c>
      <c r="F281" t="s">
        <v>42</v>
      </c>
      <c r="G281" s="2">
        <v>59499</v>
      </c>
      <c r="H281" t="s">
        <v>20</v>
      </c>
      <c r="I281" s="1">
        <v>42882</v>
      </c>
      <c r="J281" t="str">
        <f t="shared" si="16"/>
        <v>Millennials</v>
      </c>
      <c r="K281" t="str" cm="1">
        <f t="array" ref="K281">_xlfn.IFS(G281&lt;=50000,"Low",G281&lt;=100000,"Medium",G281&lt;=150000,"High",G281&gt;=150001,"Premium")</f>
        <v>Medium</v>
      </c>
      <c r="L281" s="3">
        <f t="shared" ca="1" si="17"/>
        <v>8</v>
      </c>
      <c r="M281" t="str">
        <f t="shared" ca="1" si="18"/>
        <v>5yrs +</v>
      </c>
      <c r="N281" s="3">
        <f t="shared" ca="1" si="19"/>
        <v>59</v>
      </c>
    </row>
    <row r="282" spans="1:14" x14ac:dyDescent="0.35">
      <c r="A282" t="s">
        <v>585</v>
      </c>
      <c r="B282" t="s">
        <v>586</v>
      </c>
      <c r="C282" t="s">
        <v>17</v>
      </c>
      <c r="D282">
        <v>64</v>
      </c>
      <c r="E282" t="s">
        <v>18</v>
      </c>
      <c r="F282" t="s">
        <v>31</v>
      </c>
      <c r="G282" s="2">
        <v>145816</v>
      </c>
      <c r="H282" t="s">
        <v>24</v>
      </c>
      <c r="I282" s="1">
        <v>44500</v>
      </c>
      <c r="J282" t="str">
        <f t="shared" si="16"/>
        <v>Boomers</v>
      </c>
      <c r="K282" t="str" cm="1">
        <f t="array" ref="K282">_xlfn.IFS(G282&lt;=50000,"Low",G282&lt;=100000,"Medium",G282&lt;=150000,"High",G282&gt;=150001,"Premium")</f>
        <v>High</v>
      </c>
      <c r="L282" s="3">
        <f t="shared" ca="1" si="17"/>
        <v>4</v>
      </c>
      <c r="M282" t="str">
        <f t="shared" ca="1" si="18"/>
        <v>3-5yrs</v>
      </c>
      <c r="N282" s="3">
        <f t="shared" ca="1" si="19"/>
        <v>273</v>
      </c>
    </row>
    <row r="283" spans="1:14" x14ac:dyDescent="0.35">
      <c r="A283" t="s">
        <v>587</v>
      </c>
      <c r="B283" t="s">
        <v>588</v>
      </c>
      <c r="C283" t="s">
        <v>17</v>
      </c>
      <c r="D283">
        <v>33</v>
      </c>
      <c r="E283" t="s">
        <v>34</v>
      </c>
      <c r="F283" t="s">
        <v>13</v>
      </c>
      <c r="G283" s="2">
        <v>189631</v>
      </c>
      <c r="H283" t="s">
        <v>14</v>
      </c>
      <c r="I283" s="1">
        <v>42880</v>
      </c>
      <c r="J283" t="str">
        <f t="shared" si="16"/>
        <v>Millennials</v>
      </c>
      <c r="K283" t="str" cm="1">
        <f t="array" ref="K283">_xlfn.IFS(G283&lt;=50000,"Low",G283&lt;=100000,"Medium",G283&lt;=150000,"High",G283&gt;=150001,"Premium")</f>
        <v>Premium</v>
      </c>
      <c r="L283" s="3">
        <f t="shared" ca="1" si="17"/>
        <v>8</v>
      </c>
      <c r="M283" t="str">
        <f t="shared" ca="1" si="18"/>
        <v>5yrs +</v>
      </c>
      <c r="N283" s="3">
        <f t="shared" ca="1" si="19"/>
        <v>59</v>
      </c>
    </row>
    <row r="284" spans="1:14" x14ac:dyDescent="0.35">
      <c r="A284" t="s">
        <v>589</v>
      </c>
      <c r="B284" t="s">
        <v>590</v>
      </c>
      <c r="C284" t="s">
        <v>17</v>
      </c>
      <c r="D284">
        <v>70</v>
      </c>
      <c r="E284" t="s">
        <v>34</v>
      </c>
      <c r="F284" t="s">
        <v>23</v>
      </c>
      <c r="G284" s="2">
        <v>116347</v>
      </c>
      <c r="H284" t="s">
        <v>14</v>
      </c>
      <c r="I284" s="1">
        <v>42754</v>
      </c>
      <c r="J284" t="str">
        <f t="shared" si="16"/>
        <v>Boomers</v>
      </c>
      <c r="K284" t="str" cm="1">
        <f t="array" ref="K284">_xlfn.IFS(G284&lt;=50000,"Low",G284&lt;=100000,"Medium",G284&lt;=150000,"High",G284&gt;=150001,"Premium")</f>
        <v>High</v>
      </c>
      <c r="L284" s="3">
        <f t="shared" ca="1" si="17"/>
        <v>8</v>
      </c>
      <c r="M284" t="str">
        <f t="shared" ca="1" si="18"/>
        <v>5yrs +</v>
      </c>
      <c r="N284" s="3">
        <f t="shared" ca="1" si="19"/>
        <v>59</v>
      </c>
    </row>
    <row r="285" spans="1:14" x14ac:dyDescent="0.35">
      <c r="A285" t="s">
        <v>591</v>
      </c>
      <c r="B285" t="s">
        <v>592</v>
      </c>
      <c r="C285" t="s">
        <v>11</v>
      </c>
      <c r="D285">
        <v>22</v>
      </c>
      <c r="E285" t="s">
        <v>12</v>
      </c>
      <c r="F285" t="s">
        <v>19</v>
      </c>
      <c r="G285" s="2">
        <v>68787</v>
      </c>
      <c r="H285" t="s">
        <v>14</v>
      </c>
      <c r="I285" s="1">
        <v>42305</v>
      </c>
      <c r="J285" t="str">
        <f t="shared" si="16"/>
        <v>Gen Z</v>
      </c>
      <c r="K285" t="str" cm="1">
        <f t="array" ref="K285">_xlfn.IFS(G285&lt;=50000,"Low",G285&lt;=100000,"Medium",G285&lt;=150000,"High",G285&gt;=150001,"Premium")</f>
        <v>Medium</v>
      </c>
      <c r="L285" s="3">
        <f t="shared" ca="1" si="17"/>
        <v>10</v>
      </c>
      <c r="M285" t="str">
        <f t="shared" ca="1" si="18"/>
        <v>5yrs +</v>
      </c>
      <c r="N285" s="3">
        <f t="shared" ca="1" si="19"/>
        <v>1</v>
      </c>
    </row>
    <row r="286" spans="1:14" x14ac:dyDescent="0.35">
      <c r="A286" t="s">
        <v>593</v>
      </c>
      <c r="B286" t="s">
        <v>594</v>
      </c>
      <c r="C286" t="s">
        <v>17</v>
      </c>
      <c r="D286">
        <v>52</v>
      </c>
      <c r="E286" t="s">
        <v>34</v>
      </c>
      <c r="F286" t="s">
        <v>27</v>
      </c>
      <c r="G286" s="2">
        <v>55488</v>
      </c>
      <c r="H286" t="s">
        <v>14</v>
      </c>
      <c r="I286" s="1">
        <v>44249</v>
      </c>
      <c r="J286" t="str">
        <f t="shared" si="16"/>
        <v>Gen X</v>
      </c>
      <c r="K286" t="str" cm="1">
        <f t="array" ref="K286">_xlfn.IFS(G286&lt;=50000,"Low",G286&lt;=100000,"Medium",G286&lt;=150000,"High",G286&gt;=150001,"Premium")</f>
        <v>Medium</v>
      </c>
      <c r="L286" s="3">
        <f t="shared" ca="1" si="17"/>
        <v>4</v>
      </c>
      <c r="M286" t="str">
        <f t="shared" ca="1" si="18"/>
        <v>3-5yrs</v>
      </c>
      <c r="N286" s="3">
        <f t="shared" ca="1" si="19"/>
        <v>273</v>
      </c>
    </row>
    <row r="287" spans="1:14" x14ac:dyDescent="0.35">
      <c r="A287" t="s">
        <v>595</v>
      </c>
      <c r="B287" t="s">
        <v>596</v>
      </c>
      <c r="C287" t="s">
        <v>11</v>
      </c>
      <c r="D287">
        <v>29</v>
      </c>
      <c r="E287" t="s">
        <v>30</v>
      </c>
      <c r="F287" t="s">
        <v>37</v>
      </c>
      <c r="G287" s="2">
        <v>94441</v>
      </c>
      <c r="H287" t="s">
        <v>14</v>
      </c>
      <c r="I287" s="1">
        <v>43856</v>
      </c>
      <c r="J287" t="str">
        <f t="shared" si="16"/>
        <v>Millennials</v>
      </c>
      <c r="K287" t="str" cm="1">
        <f t="array" ref="K287">_xlfn.IFS(G287&lt;=50000,"Low",G287&lt;=100000,"Medium",G287&lt;=150000,"High",G287&gt;=150001,"Premium")</f>
        <v>Medium</v>
      </c>
      <c r="L287" s="3">
        <f t="shared" ca="1" si="17"/>
        <v>5</v>
      </c>
      <c r="M287" t="str">
        <f t="shared" ca="1" si="18"/>
        <v>5yrs +</v>
      </c>
      <c r="N287" s="3">
        <f t="shared" ca="1" si="19"/>
        <v>227</v>
      </c>
    </row>
    <row r="288" spans="1:14" x14ac:dyDescent="0.35">
      <c r="A288" t="s">
        <v>597</v>
      </c>
      <c r="B288" t="s">
        <v>598</v>
      </c>
      <c r="C288" t="s">
        <v>11</v>
      </c>
      <c r="D288">
        <v>42</v>
      </c>
      <c r="E288" t="s">
        <v>34</v>
      </c>
      <c r="F288" t="s">
        <v>27</v>
      </c>
      <c r="G288" s="2">
        <v>42431</v>
      </c>
      <c r="H288" t="s">
        <v>20</v>
      </c>
      <c r="I288" s="1">
        <v>45769</v>
      </c>
      <c r="J288" t="str">
        <f t="shared" si="16"/>
        <v>Millennials</v>
      </c>
      <c r="K288" t="str" cm="1">
        <f t="array" ref="K288">_xlfn.IFS(G288&lt;=50000,"Low",G288&lt;=100000,"Medium",G288&lt;=150000,"High",G288&gt;=150001,"Premium")</f>
        <v>Low</v>
      </c>
      <c r="L288" s="3">
        <f t="shared" ca="1" si="17"/>
        <v>0</v>
      </c>
      <c r="M288" t="str">
        <f t="shared" ca="1" si="18"/>
        <v>0-1yr</v>
      </c>
      <c r="N288" s="3">
        <f t="shared" ca="1" si="19"/>
        <v>475</v>
      </c>
    </row>
    <row r="289" spans="1:14" x14ac:dyDescent="0.35">
      <c r="A289" t="s">
        <v>599</v>
      </c>
      <c r="B289" t="s">
        <v>600</v>
      </c>
      <c r="C289" t="s">
        <v>11</v>
      </c>
      <c r="D289">
        <v>69</v>
      </c>
      <c r="E289" t="s">
        <v>18</v>
      </c>
      <c r="F289" t="s">
        <v>42</v>
      </c>
      <c r="G289" s="2">
        <v>81681</v>
      </c>
      <c r="H289" t="s">
        <v>14</v>
      </c>
      <c r="I289" s="1">
        <v>44856</v>
      </c>
      <c r="J289" t="str">
        <f t="shared" si="16"/>
        <v>Boomers</v>
      </c>
      <c r="K289" t="str" cm="1">
        <f t="array" ref="K289">_xlfn.IFS(G289&lt;=50000,"Low",G289&lt;=100000,"Medium",G289&lt;=150000,"High",G289&gt;=150001,"Premium")</f>
        <v>Medium</v>
      </c>
      <c r="L289" s="3">
        <f t="shared" ca="1" si="17"/>
        <v>3</v>
      </c>
      <c r="M289" t="str">
        <f t="shared" ca="1" si="18"/>
        <v>3-5yrs</v>
      </c>
      <c r="N289" s="3">
        <f t="shared" ca="1" si="19"/>
        <v>319</v>
      </c>
    </row>
    <row r="290" spans="1:14" x14ac:dyDescent="0.35">
      <c r="A290" t="s">
        <v>601</v>
      </c>
      <c r="B290" t="s">
        <v>602</v>
      </c>
      <c r="C290" t="s">
        <v>11</v>
      </c>
      <c r="D290">
        <v>38</v>
      </c>
      <c r="E290" t="s">
        <v>34</v>
      </c>
      <c r="F290" t="s">
        <v>23</v>
      </c>
      <c r="G290" s="2">
        <v>142720</v>
      </c>
      <c r="H290" t="s">
        <v>14</v>
      </c>
      <c r="I290" s="1">
        <v>44265</v>
      </c>
      <c r="J290" t="str">
        <f t="shared" si="16"/>
        <v>Millennials</v>
      </c>
      <c r="K290" t="str" cm="1">
        <f t="array" ref="K290">_xlfn.IFS(G290&lt;=50000,"Low",G290&lt;=100000,"Medium",G290&lt;=150000,"High",G290&gt;=150001,"Premium")</f>
        <v>High</v>
      </c>
      <c r="L290" s="3">
        <f t="shared" ca="1" si="17"/>
        <v>4</v>
      </c>
      <c r="M290" t="str">
        <f t="shared" ca="1" si="18"/>
        <v>3-5yrs</v>
      </c>
      <c r="N290" s="3">
        <f t="shared" ca="1" si="19"/>
        <v>273</v>
      </c>
    </row>
    <row r="291" spans="1:14" x14ac:dyDescent="0.35">
      <c r="A291" t="s">
        <v>603</v>
      </c>
      <c r="B291" t="s">
        <v>604</v>
      </c>
      <c r="C291" t="s">
        <v>17</v>
      </c>
      <c r="D291">
        <v>53</v>
      </c>
      <c r="E291" t="s">
        <v>12</v>
      </c>
      <c r="F291" t="s">
        <v>27</v>
      </c>
      <c r="G291" s="2">
        <v>69153</v>
      </c>
      <c r="H291" t="s">
        <v>24</v>
      </c>
      <c r="I291" s="1">
        <v>42617</v>
      </c>
      <c r="J291" t="str">
        <f t="shared" si="16"/>
        <v>Gen X</v>
      </c>
      <c r="K291" t="str" cm="1">
        <f t="array" ref="K291">_xlfn.IFS(G291&lt;=50000,"Low",G291&lt;=100000,"Medium",G291&lt;=150000,"High",G291&gt;=150001,"Premium")</f>
        <v>Medium</v>
      </c>
      <c r="L291" s="3">
        <f t="shared" ca="1" si="17"/>
        <v>9</v>
      </c>
      <c r="M291" t="str">
        <f t="shared" ca="1" si="18"/>
        <v>5yrs +</v>
      </c>
      <c r="N291" s="3">
        <f t="shared" ca="1" si="19"/>
        <v>17</v>
      </c>
    </row>
    <row r="292" spans="1:14" x14ac:dyDescent="0.35">
      <c r="A292" t="s">
        <v>605</v>
      </c>
      <c r="B292" t="s">
        <v>606</v>
      </c>
      <c r="C292" t="s">
        <v>11</v>
      </c>
      <c r="D292">
        <v>70</v>
      </c>
      <c r="E292" t="s">
        <v>34</v>
      </c>
      <c r="F292" t="s">
        <v>37</v>
      </c>
      <c r="G292" s="2">
        <v>26368</v>
      </c>
      <c r="H292" t="s">
        <v>20</v>
      </c>
      <c r="I292" s="1">
        <v>43499</v>
      </c>
      <c r="J292" t="str">
        <f t="shared" si="16"/>
        <v>Boomers</v>
      </c>
      <c r="K292" t="str" cm="1">
        <f t="array" ref="K292">_xlfn.IFS(G292&lt;=50000,"Low",G292&lt;=100000,"Medium",G292&lt;=150000,"High",G292&gt;=150001,"Premium")</f>
        <v>Low</v>
      </c>
      <c r="L292" s="3">
        <f t="shared" ca="1" si="17"/>
        <v>6</v>
      </c>
      <c r="M292" t="str">
        <f t="shared" ca="1" si="18"/>
        <v>5yrs +</v>
      </c>
      <c r="N292" s="3">
        <f t="shared" ca="1" si="19"/>
        <v>169</v>
      </c>
    </row>
    <row r="293" spans="1:14" x14ac:dyDescent="0.35">
      <c r="A293" t="s">
        <v>607</v>
      </c>
      <c r="B293" t="s">
        <v>608</v>
      </c>
      <c r="C293" t="s">
        <v>11</v>
      </c>
      <c r="D293">
        <v>40</v>
      </c>
      <c r="E293" t="s">
        <v>18</v>
      </c>
      <c r="F293" t="s">
        <v>23</v>
      </c>
      <c r="G293" s="2">
        <v>178496</v>
      </c>
      <c r="H293" t="s">
        <v>20</v>
      </c>
      <c r="I293" s="1">
        <v>44893</v>
      </c>
      <c r="J293" t="str">
        <f t="shared" si="16"/>
        <v>Millennials</v>
      </c>
      <c r="K293" t="str" cm="1">
        <f t="array" ref="K293">_xlfn.IFS(G293&lt;=50000,"Low",G293&lt;=100000,"Medium",G293&lt;=150000,"High",G293&gt;=150001,"Premium")</f>
        <v>Premium</v>
      </c>
      <c r="L293" s="3">
        <f t="shared" ca="1" si="17"/>
        <v>2</v>
      </c>
      <c r="M293" t="str">
        <f t="shared" ca="1" si="18"/>
        <v>1-3yrs</v>
      </c>
      <c r="N293" s="3">
        <f t="shared" ca="1" si="19"/>
        <v>367</v>
      </c>
    </row>
    <row r="294" spans="1:14" x14ac:dyDescent="0.35">
      <c r="A294" t="s">
        <v>609</v>
      </c>
      <c r="B294" t="s">
        <v>610</v>
      </c>
      <c r="C294" t="s">
        <v>11</v>
      </c>
      <c r="D294">
        <v>33</v>
      </c>
      <c r="E294" t="s">
        <v>18</v>
      </c>
      <c r="F294" t="s">
        <v>27</v>
      </c>
      <c r="G294" s="2">
        <v>132360</v>
      </c>
      <c r="H294" t="s">
        <v>14</v>
      </c>
      <c r="I294" s="1">
        <v>42674</v>
      </c>
      <c r="J294" t="str">
        <f t="shared" si="16"/>
        <v>Millennials</v>
      </c>
      <c r="K294" t="str" cm="1">
        <f t="array" ref="K294">_xlfn.IFS(G294&lt;=50000,"Low",G294&lt;=100000,"Medium",G294&lt;=150000,"High",G294&gt;=150001,"Premium")</f>
        <v>High</v>
      </c>
      <c r="L294" s="3">
        <f t="shared" ca="1" si="17"/>
        <v>9</v>
      </c>
      <c r="M294" t="str">
        <f t="shared" ca="1" si="18"/>
        <v>5yrs +</v>
      </c>
      <c r="N294" s="3">
        <f t="shared" ca="1" si="19"/>
        <v>17</v>
      </c>
    </row>
    <row r="295" spans="1:14" x14ac:dyDescent="0.35">
      <c r="A295" t="s">
        <v>611</v>
      </c>
      <c r="B295" t="s">
        <v>612</v>
      </c>
      <c r="C295" t="s">
        <v>17</v>
      </c>
      <c r="D295">
        <v>74</v>
      </c>
      <c r="E295" t="s">
        <v>30</v>
      </c>
      <c r="F295" t="s">
        <v>19</v>
      </c>
      <c r="G295" s="2">
        <v>196076</v>
      </c>
      <c r="H295" t="s">
        <v>20</v>
      </c>
      <c r="I295" s="1">
        <v>43335</v>
      </c>
      <c r="J295" t="str">
        <f t="shared" si="16"/>
        <v>Boomers</v>
      </c>
      <c r="K295" t="str" cm="1">
        <f t="array" ref="K295">_xlfn.IFS(G295&lt;=50000,"Low",G295&lt;=100000,"Medium",G295&lt;=150000,"High",G295&gt;=150001,"Premium")</f>
        <v>Premium</v>
      </c>
      <c r="L295" s="3">
        <f t="shared" ca="1" si="17"/>
        <v>7</v>
      </c>
      <c r="M295" t="str">
        <f t="shared" ca="1" si="18"/>
        <v>5yrs +</v>
      </c>
      <c r="N295" s="3">
        <f t="shared" ca="1" si="19"/>
        <v>118</v>
      </c>
    </row>
    <row r="296" spans="1:14" x14ac:dyDescent="0.35">
      <c r="A296" t="s">
        <v>613</v>
      </c>
      <c r="B296" t="s">
        <v>614</v>
      </c>
      <c r="C296" t="s">
        <v>17</v>
      </c>
      <c r="D296">
        <v>56</v>
      </c>
      <c r="E296" t="s">
        <v>34</v>
      </c>
      <c r="F296" t="s">
        <v>31</v>
      </c>
      <c r="G296" s="2">
        <v>132755</v>
      </c>
      <c r="H296" t="s">
        <v>14</v>
      </c>
      <c r="I296" s="1">
        <v>42510</v>
      </c>
      <c r="J296" t="str">
        <f t="shared" si="16"/>
        <v>Gen X</v>
      </c>
      <c r="K296" t="str" cm="1">
        <f t="array" ref="K296">_xlfn.IFS(G296&lt;=50000,"Low",G296&lt;=100000,"Medium",G296&lt;=150000,"High",G296&gt;=150001,"Premium")</f>
        <v>High</v>
      </c>
      <c r="L296" s="3">
        <f t="shared" ca="1" si="17"/>
        <v>9</v>
      </c>
      <c r="M296" t="str">
        <f t="shared" ca="1" si="18"/>
        <v>5yrs +</v>
      </c>
      <c r="N296" s="3">
        <f t="shared" ca="1" si="19"/>
        <v>17</v>
      </c>
    </row>
    <row r="297" spans="1:14" x14ac:dyDescent="0.35">
      <c r="A297" t="s">
        <v>615</v>
      </c>
      <c r="B297" t="s">
        <v>616</v>
      </c>
      <c r="C297" t="s">
        <v>17</v>
      </c>
      <c r="D297">
        <v>62</v>
      </c>
      <c r="E297" t="s">
        <v>18</v>
      </c>
      <c r="F297" t="s">
        <v>23</v>
      </c>
      <c r="G297" s="2">
        <v>76985</v>
      </c>
      <c r="H297" t="s">
        <v>14</v>
      </c>
      <c r="I297" s="1">
        <v>44646</v>
      </c>
      <c r="J297" t="str">
        <f t="shared" si="16"/>
        <v>Boomers</v>
      </c>
      <c r="K297" t="str" cm="1">
        <f t="array" ref="K297">_xlfn.IFS(G297&lt;=50000,"Low",G297&lt;=100000,"Medium",G297&lt;=150000,"High",G297&gt;=150001,"Premium")</f>
        <v>Medium</v>
      </c>
      <c r="L297" s="3">
        <f t="shared" ca="1" si="17"/>
        <v>3</v>
      </c>
      <c r="M297" t="str">
        <f t="shared" ca="1" si="18"/>
        <v>3-5yrs</v>
      </c>
      <c r="N297" s="3">
        <f t="shared" ca="1" si="19"/>
        <v>319</v>
      </c>
    </row>
    <row r="298" spans="1:14" x14ac:dyDescent="0.35">
      <c r="A298" t="s">
        <v>617</v>
      </c>
      <c r="B298" t="s">
        <v>618</v>
      </c>
      <c r="C298" t="s">
        <v>17</v>
      </c>
      <c r="D298">
        <v>70</v>
      </c>
      <c r="E298" t="s">
        <v>12</v>
      </c>
      <c r="F298" t="s">
        <v>31</v>
      </c>
      <c r="G298" s="2">
        <v>70069</v>
      </c>
      <c r="H298" t="s">
        <v>14</v>
      </c>
      <c r="I298" s="1">
        <v>44862</v>
      </c>
      <c r="J298" t="str">
        <f t="shared" si="16"/>
        <v>Boomers</v>
      </c>
      <c r="K298" t="str" cm="1">
        <f t="array" ref="K298">_xlfn.IFS(G298&lt;=50000,"Low",G298&lt;=100000,"Medium",G298&lt;=150000,"High",G298&gt;=150001,"Premium")</f>
        <v>Medium</v>
      </c>
      <c r="L298" s="3">
        <f t="shared" ca="1" si="17"/>
        <v>3</v>
      </c>
      <c r="M298" t="str">
        <f t="shared" ca="1" si="18"/>
        <v>3-5yrs</v>
      </c>
      <c r="N298" s="3">
        <f t="shared" ca="1" si="19"/>
        <v>319</v>
      </c>
    </row>
    <row r="299" spans="1:14" x14ac:dyDescent="0.35">
      <c r="A299" t="s">
        <v>619</v>
      </c>
      <c r="B299" t="s">
        <v>620</v>
      </c>
      <c r="C299" t="s">
        <v>11</v>
      </c>
      <c r="D299">
        <v>59</v>
      </c>
      <c r="E299" t="s">
        <v>30</v>
      </c>
      <c r="F299" t="s">
        <v>23</v>
      </c>
      <c r="G299" s="2">
        <v>72326</v>
      </c>
      <c r="H299" t="s">
        <v>20</v>
      </c>
      <c r="I299" s="1">
        <v>42922</v>
      </c>
      <c r="J299" t="str">
        <f t="shared" si="16"/>
        <v>Gen X</v>
      </c>
      <c r="K299" t="str" cm="1">
        <f t="array" ref="K299">_xlfn.IFS(G299&lt;=50000,"Low",G299&lt;=100000,"Medium",G299&lt;=150000,"High",G299&gt;=150001,"Premium")</f>
        <v>Medium</v>
      </c>
      <c r="L299" s="3">
        <f t="shared" ca="1" si="17"/>
        <v>8</v>
      </c>
      <c r="M299" t="str">
        <f t="shared" ca="1" si="18"/>
        <v>5yrs +</v>
      </c>
      <c r="N299" s="3">
        <f t="shared" ca="1" si="19"/>
        <v>59</v>
      </c>
    </row>
    <row r="300" spans="1:14" x14ac:dyDescent="0.35">
      <c r="A300" t="s">
        <v>621</v>
      </c>
      <c r="B300" t="s">
        <v>622</v>
      </c>
      <c r="C300" t="s">
        <v>11</v>
      </c>
      <c r="D300">
        <v>56</v>
      </c>
      <c r="E300" t="s">
        <v>12</v>
      </c>
      <c r="F300" t="s">
        <v>19</v>
      </c>
      <c r="G300" s="2">
        <v>128737</v>
      </c>
      <c r="H300" t="s">
        <v>14</v>
      </c>
      <c r="I300" s="1">
        <v>45200</v>
      </c>
      <c r="J300" t="str">
        <f t="shared" si="16"/>
        <v>Gen X</v>
      </c>
      <c r="K300" t="str" cm="1">
        <f t="array" ref="K300">_xlfn.IFS(G300&lt;=50000,"Low",G300&lt;=100000,"Medium",G300&lt;=150000,"High",G300&gt;=150001,"Premium")</f>
        <v>High</v>
      </c>
      <c r="L300" s="3">
        <f t="shared" ca="1" si="17"/>
        <v>2</v>
      </c>
      <c r="M300" t="str">
        <f t="shared" ca="1" si="18"/>
        <v>1-3yrs</v>
      </c>
      <c r="N300" s="3">
        <f t="shared" ca="1" si="19"/>
        <v>367</v>
      </c>
    </row>
    <row r="301" spans="1:14" x14ac:dyDescent="0.35">
      <c r="A301" t="s">
        <v>623</v>
      </c>
      <c r="B301" t="s">
        <v>624</v>
      </c>
      <c r="C301" t="s">
        <v>17</v>
      </c>
      <c r="D301">
        <v>31</v>
      </c>
      <c r="E301" t="s">
        <v>34</v>
      </c>
      <c r="F301" t="s">
        <v>31</v>
      </c>
      <c r="G301" s="2">
        <v>174470</v>
      </c>
      <c r="H301" t="s">
        <v>14</v>
      </c>
      <c r="I301" s="1">
        <v>45402</v>
      </c>
      <c r="J301" t="str">
        <f t="shared" si="16"/>
        <v>Millennials</v>
      </c>
      <c r="K301" t="str" cm="1">
        <f t="array" ref="K301">_xlfn.IFS(G301&lt;=50000,"Low",G301&lt;=100000,"Medium",G301&lt;=150000,"High",G301&gt;=150001,"Premium")</f>
        <v>Premium</v>
      </c>
      <c r="L301" s="3">
        <f t="shared" ca="1" si="17"/>
        <v>1</v>
      </c>
      <c r="M301" t="str">
        <f t="shared" ca="1" si="18"/>
        <v>1-3yrs</v>
      </c>
      <c r="N301" s="3">
        <f t="shared" ca="1" si="19"/>
        <v>422</v>
      </c>
    </row>
    <row r="302" spans="1:14" x14ac:dyDescent="0.35">
      <c r="A302" t="s">
        <v>625</v>
      </c>
      <c r="B302" t="s">
        <v>626</v>
      </c>
      <c r="C302" t="s">
        <v>11</v>
      </c>
      <c r="D302">
        <v>48</v>
      </c>
      <c r="E302" t="s">
        <v>34</v>
      </c>
      <c r="F302" t="s">
        <v>13</v>
      </c>
      <c r="G302" s="2">
        <v>70861</v>
      </c>
      <c r="H302" t="s">
        <v>14</v>
      </c>
      <c r="I302" s="1">
        <v>45334</v>
      </c>
      <c r="J302" t="str">
        <f t="shared" si="16"/>
        <v>Gen X</v>
      </c>
      <c r="K302" t="str" cm="1">
        <f t="array" ref="K302">_xlfn.IFS(G302&lt;=50000,"Low",G302&lt;=100000,"Medium",G302&lt;=150000,"High",G302&gt;=150001,"Premium")</f>
        <v>Medium</v>
      </c>
      <c r="L302" s="3">
        <f t="shared" ca="1" si="17"/>
        <v>1</v>
      </c>
      <c r="M302" t="str">
        <f t="shared" ca="1" si="18"/>
        <v>1-3yrs</v>
      </c>
      <c r="N302" s="3">
        <f t="shared" ca="1" si="19"/>
        <v>422</v>
      </c>
    </row>
    <row r="303" spans="1:14" x14ac:dyDescent="0.35">
      <c r="A303" t="s">
        <v>627</v>
      </c>
      <c r="B303" t="s">
        <v>628</v>
      </c>
      <c r="C303" t="s">
        <v>11</v>
      </c>
      <c r="D303">
        <v>22</v>
      </c>
      <c r="E303" t="s">
        <v>34</v>
      </c>
      <c r="F303" t="s">
        <v>37</v>
      </c>
      <c r="G303" s="2">
        <v>95897</v>
      </c>
      <c r="H303" t="s">
        <v>14</v>
      </c>
      <c r="I303" s="1">
        <v>44473</v>
      </c>
      <c r="J303" t="str">
        <f t="shared" si="16"/>
        <v>Gen Z</v>
      </c>
      <c r="K303" t="str" cm="1">
        <f t="array" ref="K303">_xlfn.IFS(G303&lt;=50000,"Low",G303&lt;=100000,"Medium",G303&lt;=150000,"High",G303&gt;=150001,"Premium")</f>
        <v>Medium</v>
      </c>
      <c r="L303" s="3">
        <f t="shared" ca="1" si="17"/>
        <v>4</v>
      </c>
      <c r="M303" t="str">
        <f t="shared" ca="1" si="18"/>
        <v>3-5yrs</v>
      </c>
      <c r="N303" s="3">
        <f t="shared" ca="1" si="19"/>
        <v>273</v>
      </c>
    </row>
    <row r="304" spans="1:14" x14ac:dyDescent="0.35">
      <c r="A304" t="s">
        <v>629</v>
      </c>
      <c r="B304" t="s">
        <v>630</v>
      </c>
      <c r="C304" t="s">
        <v>11</v>
      </c>
      <c r="D304">
        <v>52</v>
      </c>
      <c r="E304" t="s">
        <v>30</v>
      </c>
      <c r="F304" t="s">
        <v>13</v>
      </c>
      <c r="G304" s="2">
        <v>147118</v>
      </c>
      <c r="H304" t="s">
        <v>20</v>
      </c>
      <c r="I304" s="1">
        <v>44957</v>
      </c>
      <c r="J304" t="str">
        <f t="shared" si="16"/>
        <v>Gen X</v>
      </c>
      <c r="K304" t="str" cm="1">
        <f t="array" ref="K304">_xlfn.IFS(G304&lt;=50000,"Low",G304&lt;=100000,"Medium",G304&lt;=150000,"High",G304&gt;=150001,"Premium")</f>
        <v>High</v>
      </c>
      <c r="L304" s="3">
        <f t="shared" ca="1" si="17"/>
        <v>2</v>
      </c>
      <c r="M304" t="str">
        <f t="shared" ca="1" si="18"/>
        <v>1-3yrs</v>
      </c>
      <c r="N304" s="3">
        <f t="shared" ca="1" si="19"/>
        <v>367</v>
      </c>
    </row>
    <row r="305" spans="1:14" x14ac:dyDescent="0.35">
      <c r="A305" t="s">
        <v>631</v>
      </c>
      <c r="B305" t="s">
        <v>632</v>
      </c>
      <c r="C305" t="s">
        <v>17</v>
      </c>
      <c r="D305">
        <v>40</v>
      </c>
      <c r="E305" t="s">
        <v>18</v>
      </c>
      <c r="F305" t="s">
        <v>27</v>
      </c>
      <c r="G305" s="2">
        <v>88577</v>
      </c>
      <c r="H305" t="s">
        <v>20</v>
      </c>
      <c r="I305" s="1">
        <v>43251</v>
      </c>
      <c r="J305" t="str">
        <f t="shared" si="16"/>
        <v>Millennials</v>
      </c>
      <c r="K305" t="str" cm="1">
        <f t="array" ref="K305">_xlfn.IFS(G305&lt;=50000,"Low",G305&lt;=100000,"Medium",G305&lt;=150000,"High",G305&gt;=150001,"Premium")</f>
        <v>Medium</v>
      </c>
      <c r="L305" s="3">
        <f t="shared" ca="1" si="17"/>
        <v>7</v>
      </c>
      <c r="M305" t="str">
        <f t="shared" ca="1" si="18"/>
        <v>5yrs +</v>
      </c>
      <c r="N305" s="3">
        <f t="shared" ca="1" si="19"/>
        <v>118</v>
      </c>
    </row>
    <row r="306" spans="1:14" x14ac:dyDescent="0.35">
      <c r="A306" t="s">
        <v>633</v>
      </c>
      <c r="B306" t="s">
        <v>634</v>
      </c>
      <c r="C306" t="s">
        <v>17</v>
      </c>
      <c r="D306">
        <v>46</v>
      </c>
      <c r="E306" t="s">
        <v>30</v>
      </c>
      <c r="F306" t="s">
        <v>19</v>
      </c>
      <c r="G306" s="2">
        <v>29078</v>
      </c>
      <c r="H306" t="s">
        <v>20</v>
      </c>
      <c r="I306" s="1">
        <v>43041</v>
      </c>
      <c r="J306" t="str">
        <f t="shared" si="16"/>
        <v>Gen X</v>
      </c>
      <c r="K306" t="str" cm="1">
        <f t="array" ref="K306">_xlfn.IFS(G306&lt;=50000,"Low",G306&lt;=100000,"Medium",G306&lt;=150000,"High",G306&gt;=150001,"Premium")</f>
        <v>Low</v>
      </c>
      <c r="L306" s="3">
        <f t="shared" ca="1" si="17"/>
        <v>8</v>
      </c>
      <c r="M306" t="str">
        <f t="shared" ca="1" si="18"/>
        <v>5yrs +</v>
      </c>
      <c r="N306" s="3">
        <f t="shared" ca="1" si="19"/>
        <v>59</v>
      </c>
    </row>
    <row r="307" spans="1:14" x14ac:dyDescent="0.35">
      <c r="A307" t="s">
        <v>635</v>
      </c>
      <c r="B307" t="s">
        <v>636</v>
      </c>
      <c r="C307" t="s">
        <v>11</v>
      </c>
      <c r="D307">
        <v>60</v>
      </c>
      <c r="E307" t="s">
        <v>12</v>
      </c>
      <c r="F307" t="s">
        <v>13</v>
      </c>
      <c r="G307" s="2">
        <v>176075</v>
      </c>
      <c r="H307" t="s">
        <v>14</v>
      </c>
      <c r="I307" s="1">
        <v>43261</v>
      </c>
      <c r="J307" t="str">
        <f t="shared" si="16"/>
        <v>Gen X</v>
      </c>
      <c r="K307" t="str" cm="1">
        <f t="array" ref="K307">_xlfn.IFS(G307&lt;=50000,"Low",G307&lt;=100000,"Medium",G307&lt;=150000,"High",G307&gt;=150001,"Premium")</f>
        <v>Premium</v>
      </c>
      <c r="L307" s="3">
        <f t="shared" ca="1" si="17"/>
        <v>7</v>
      </c>
      <c r="M307" t="str">
        <f t="shared" ca="1" si="18"/>
        <v>5yrs +</v>
      </c>
      <c r="N307" s="3">
        <f t="shared" ca="1" si="19"/>
        <v>118</v>
      </c>
    </row>
    <row r="308" spans="1:14" x14ac:dyDescent="0.35">
      <c r="A308" t="s">
        <v>637</v>
      </c>
      <c r="B308" t="s">
        <v>638</v>
      </c>
      <c r="C308" t="s">
        <v>17</v>
      </c>
      <c r="D308">
        <v>28</v>
      </c>
      <c r="E308" t="s">
        <v>30</v>
      </c>
      <c r="F308" t="s">
        <v>23</v>
      </c>
      <c r="G308" s="2">
        <v>82768</v>
      </c>
      <c r="H308" t="s">
        <v>14</v>
      </c>
      <c r="I308" s="1">
        <v>42293</v>
      </c>
      <c r="J308" t="str">
        <f t="shared" si="16"/>
        <v>Gen Z</v>
      </c>
      <c r="K308" t="str" cm="1">
        <f t="array" ref="K308">_xlfn.IFS(G308&lt;=50000,"Low",G308&lt;=100000,"Medium",G308&lt;=150000,"High",G308&gt;=150001,"Premium")</f>
        <v>Medium</v>
      </c>
      <c r="L308" s="3">
        <f t="shared" ca="1" si="17"/>
        <v>10</v>
      </c>
      <c r="M308" t="str">
        <f t="shared" ca="1" si="18"/>
        <v>5yrs +</v>
      </c>
      <c r="N308" s="3">
        <f t="shared" ca="1" si="19"/>
        <v>1</v>
      </c>
    </row>
    <row r="309" spans="1:14" x14ac:dyDescent="0.35">
      <c r="A309" t="s">
        <v>639</v>
      </c>
      <c r="B309" t="s">
        <v>640</v>
      </c>
      <c r="C309" t="s">
        <v>17</v>
      </c>
      <c r="D309">
        <v>35</v>
      </c>
      <c r="E309" t="s">
        <v>12</v>
      </c>
      <c r="F309" t="s">
        <v>27</v>
      </c>
      <c r="G309" s="2">
        <v>71047</v>
      </c>
      <c r="H309" t="s">
        <v>14</v>
      </c>
      <c r="I309" s="1">
        <v>42239</v>
      </c>
      <c r="J309" t="str">
        <f t="shared" si="16"/>
        <v>Millennials</v>
      </c>
      <c r="K309" t="str" cm="1">
        <f t="array" ref="K309">_xlfn.IFS(G309&lt;=50000,"Low",G309&lt;=100000,"Medium",G309&lt;=150000,"High",G309&gt;=150001,"Premium")</f>
        <v>Medium</v>
      </c>
      <c r="L309" s="3">
        <f t="shared" ca="1" si="17"/>
        <v>10</v>
      </c>
      <c r="M309" t="str">
        <f t="shared" ca="1" si="18"/>
        <v>5yrs +</v>
      </c>
      <c r="N309" s="3">
        <f t="shared" ca="1" si="19"/>
        <v>1</v>
      </c>
    </row>
    <row r="310" spans="1:14" x14ac:dyDescent="0.35">
      <c r="A310" t="s">
        <v>641</v>
      </c>
      <c r="B310" t="s">
        <v>642</v>
      </c>
      <c r="C310" t="s">
        <v>17</v>
      </c>
      <c r="D310">
        <v>64</v>
      </c>
      <c r="E310" t="s">
        <v>30</v>
      </c>
      <c r="F310" t="s">
        <v>27</v>
      </c>
      <c r="G310" s="2">
        <v>91626</v>
      </c>
      <c r="H310" t="s">
        <v>14</v>
      </c>
      <c r="I310" s="1">
        <v>42506</v>
      </c>
      <c r="J310" t="str">
        <f t="shared" si="16"/>
        <v>Boomers</v>
      </c>
      <c r="K310" t="str" cm="1">
        <f t="array" ref="K310">_xlfn.IFS(G310&lt;=50000,"Low",G310&lt;=100000,"Medium",G310&lt;=150000,"High",G310&gt;=150001,"Premium")</f>
        <v>Medium</v>
      </c>
      <c r="L310" s="3">
        <f t="shared" ca="1" si="17"/>
        <v>9</v>
      </c>
      <c r="M310" t="str">
        <f t="shared" ca="1" si="18"/>
        <v>5yrs +</v>
      </c>
      <c r="N310" s="3">
        <f t="shared" ca="1" si="19"/>
        <v>17</v>
      </c>
    </row>
    <row r="311" spans="1:14" x14ac:dyDescent="0.35">
      <c r="A311" t="s">
        <v>643</v>
      </c>
      <c r="B311" t="s">
        <v>644</v>
      </c>
      <c r="C311" t="s">
        <v>17</v>
      </c>
      <c r="D311">
        <v>29</v>
      </c>
      <c r="E311" t="s">
        <v>18</v>
      </c>
      <c r="F311" t="s">
        <v>13</v>
      </c>
      <c r="G311" s="2">
        <v>77660</v>
      </c>
      <c r="H311" t="s">
        <v>14</v>
      </c>
      <c r="I311" s="1">
        <v>42720</v>
      </c>
      <c r="J311" t="str">
        <f t="shared" si="16"/>
        <v>Millennials</v>
      </c>
      <c r="K311" t="str" cm="1">
        <f t="array" ref="K311">_xlfn.IFS(G311&lt;=50000,"Low",G311&lt;=100000,"Medium",G311&lt;=150000,"High",G311&gt;=150001,"Premium")</f>
        <v>Medium</v>
      </c>
      <c r="L311" s="3">
        <f t="shared" ca="1" si="17"/>
        <v>8</v>
      </c>
      <c r="M311" t="str">
        <f t="shared" ca="1" si="18"/>
        <v>5yrs +</v>
      </c>
      <c r="N311" s="3">
        <f t="shared" ca="1" si="19"/>
        <v>59</v>
      </c>
    </row>
    <row r="312" spans="1:14" x14ac:dyDescent="0.35">
      <c r="A312" t="s">
        <v>645</v>
      </c>
      <c r="B312" t="s">
        <v>646</v>
      </c>
      <c r="C312" t="s">
        <v>17</v>
      </c>
      <c r="D312">
        <v>26</v>
      </c>
      <c r="E312" t="s">
        <v>12</v>
      </c>
      <c r="F312" t="s">
        <v>13</v>
      </c>
      <c r="G312" s="2">
        <v>152997</v>
      </c>
      <c r="H312" t="s">
        <v>20</v>
      </c>
      <c r="I312" s="1">
        <v>42861</v>
      </c>
      <c r="J312" t="str">
        <f t="shared" si="16"/>
        <v>Gen Z</v>
      </c>
      <c r="K312" t="str" cm="1">
        <f t="array" ref="K312">_xlfn.IFS(G312&lt;=50000,"Low",G312&lt;=100000,"Medium",G312&lt;=150000,"High",G312&gt;=150001,"Premium")</f>
        <v>Premium</v>
      </c>
      <c r="L312" s="3">
        <f t="shared" ca="1" si="17"/>
        <v>8</v>
      </c>
      <c r="M312" t="str">
        <f t="shared" ca="1" si="18"/>
        <v>5yrs +</v>
      </c>
      <c r="N312" s="3">
        <f t="shared" ca="1" si="19"/>
        <v>59</v>
      </c>
    </row>
    <row r="313" spans="1:14" x14ac:dyDescent="0.35">
      <c r="A313" t="s">
        <v>647</v>
      </c>
      <c r="B313" t="s">
        <v>648</v>
      </c>
      <c r="C313" t="s">
        <v>11</v>
      </c>
      <c r="D313">
        <v>27</v>
      </c>
      <c r="E313" t="s">
        <v>34</v>
      </c>
      <c r="F313" t="s">
        <v>19</v>
      </c>
      <c r="G313" s="2">
        <v>137832</v>
      </c>
      <c r="H313" t="s">
        <v>14</v>
      </c>
      <c r="I313" s="1">
        <v>43767</v>
      </c>
      <c r="J313" t="str">
        <f t="shared" si="16"/>
        <v>Gen Z</v>
      </c>
      <c r="K313" t="str" cm="1">
        <f t="array" ref="K313">_xlfn.IFS(G313&lt;=50000,"Low",G313&lt;=100000,"Medium",G313&lt;=150000,"High",G313&gt;=150001,"Premium")</f>
        <v>High</v>
      </c>
      <c r="L313" s="3">
        <f t="shared" ca="1" si="17"/>
        <v>6</v>
      </c>
      <c r="M313" t="str">
        <f t="shared" ca="1" si="18"/>
        <v>5yrs +</v>
      </c>
      <c r="N313" s="3">
        <f t="shared" ca="1" si="19"/>
        <v>169</v>
      </c>
    </row>
    <row r="314" spans="1:14" x14ac:dyDescent="0.35">
      <c r="A314" t="s">
        <v>649</v>
      </c>
      <c r="B314" t="s">
        <v>650</v>
      </c>
      <c r="C314" t="s">
        <v>17</v>
      </c>
      <c r="D314">
        <v>61</v>
      </c>
      <c r="E314" t="s">
        <v>34</v>
      </c>
      <c r="F314" t="s">
        <v>37</v>
      </c>
      <c r="G314" s="2">
        <v>150406</v>
      </c>
      <c r="H314" t="s">
        <v>14</v>
      </c>
      <c r="I314" s="1">
        <v>43566</v>
      </c>
      <c r="J314" t="str">
        <f t="shared" si="16"/>
        <v>Boomers</v>
      </c>
      <c r="K314" t="str" cm="1">
        <f t="array" ref="K314">_xlfn.IFS(G314&lt;=50000,"Low",G314&lt;=100000,"Medium",G314&lt;=150000,"High",G314&gt;=150001,"Premium")</f>
        <v>Premium</v>
      </c>
      <c r="L314" s="3">
        <f t="shared" ca="1" si="17"/>
        <v>6</v>
      </c>
      <c r="M314" t="str">
        <f t="shared" ca="1" si="18"/>
        <v>5yrs +</v>
      </c>
      <c r="N314" s="3">
        <f t="shared" ca="1" si="19"/>
        <v>169</v>
      </c>
    </row>
    <row r="315" spans="1:14" x14ac:dyDescent="0.35">
      <c r="A315" t="s">
        <v>651</v>
      </c>
      <c r="B315" t="s">
        <v>652</v>
      </c>
      <c r="C315" t="s">
        <v>11</v>
      </c>
      <c r="D315">
        <v>34</v>
      </c>
      <c r="E315" t="s">
        <v>30</v>
      </c>
      <c r="F315" t="s">
        <v>13</v>
      </c>
      <c r="G315" s="2">
        <v>145150</v>
      </c>
      <c r="H315" t="s">
        <v>14</v>
      </c>
      <c r="I315" s="1">
        <v>44714</v>
      </c>
      <c r="J315" t="str">
        <f t="shared" si="16"/>
        <v>Millennials</v>
      </c>
      <c r="K315" t="str" cm="1">
        <f t="array" ref="K315">_xlfn.IFS(G315&lt;=50000,"Low",G315&lt;=100000,"Medium",G315&lt;=150000,"High",G315&gt;=150001,"Premium")</f>
        <v>High</v>
      </c>
      <c r="L315" s="3">
        <f t="shared" ca="1" si="17"/>
        <v>3</v>
      </c>
      <c r="M315" t="str">
        <f t="shared" ca="1" si="18"/>
        <v>3-5yrs</v>
      </c>
      <c r="N315" s="3">
        <f t="shared" ca="1" si="19"/>
        <v>319</v>
      </c>
    </row>
    <row r="316" spans="1:14" x14ac:dyDescent="0.35">
      <c r="A316" t="s">
        <v>653</v>
      </c>
      <c r="B316" t="s">
        <v>654</v>
      </c>
      <c r="C316" t="s">
        <v>11</v>
      </c>
      <c r="D316">
        <v>55</v>
      </c>
      <c r="E316" t="s">
        <v>34</v>
      </c>
      <c r="F316" t="s">
        <v>42</v>
      </c>
      <c r="G316" s="2">
        <v>177087</v>
      </c>
      <c r="H316" t="s">
        <v>14</v>
      </c>
      <c r="I316" s="1">
        <v>45794</v>
      </c>
      <c r="J316" t="str">
        <f t="shared" si="16"/>
        <v>Gen X</v>
      </c>
      <c r="K316" t="str" cm="1">
        <f t="array" ref="K316">_xlfn.IFS(G316&lt;=50000,"Low",G316&lt;=100000,"Medium",G316&lt;=150000,"High",G316&gt;=150001,"Premium")</f>
        <v>Premium</v>
      </c>
      <c r="L316" s="3">
        <f t="shared" ca="1" si="17"/>
        <v>0</v>
      </c>
      <c r="M316" t="str">
        <f t="shared" ca="1" si="18"/>
        <v>0-1yr</v>
      </c>
      <c r="N316" s="3">
        <f t="shared" ca="1" si="19"/>
        <v>475</v>
      </c>
    </row>
    <row r="317" spans="1:14" x14ac:dyDescent="0.35">
      <c r="A317" t="s">
        <v>655</v>
      </c>
      <c r="B317" t="s">
        <v>656</v>
      </c>
      <c r="C317" t="s">
        <v>17</v>
      </c>
      <c r="D317">
        <v>24</v>
      </c>
      <c r="E317" t="s">
        <v>12</v>
      </c>
      <c r="F317" t="s">
        <v>13</v>
      </c>
      <c r="G317" s="2">
        <v>53320</v>
      </c>
      <c r="H317" t="s">
        <v>14</v>
      </c>
      <c r="I317" s="1">
        <v>45058</v>
      </c>
      <c r="J317" t="str">
        <f t="shared" si="16"/>
        <v>Gen Z</v>
      </c>
      <c r="K317" t="str" cm="1">
        <f t="array" ref="K317">_xlfn.IFS(G317&lt;=50000,"Low",G317&lt;=100000,"Medium",G317&lt;=150000,"High",G317&gt;=150001,"Premium")</f>
        <v>Medium</v>
      </c>
      <c r="L317" s="3">
        <f t="shared" ca="1" si="17"/>
        <v>2</v>
      </c>
      <c r="M317" t="str">
        <f t="shared" ca="1" si="18"/>
        <v>1-3yrs</v>
      </c>
      <c r="N317" s="3">
        <f t="shared" ca="1" si="19"/>
        <v>367</v>
      </c>
    </row>
    <row r="318" spans="1:14" x14ac:dyDescent="0.35">
      <c r="A318" t="s">
        <v>657</v>
      </c>
      <c r="B318" t="s">
        <v>658</v>
      </c>
      <c r="C318" t="s">
        <v>11</v>
      </c>
      <c r="D318">
        <v>63</v>
      </c>
      <c r="E318" t="s">
        <v>34</v>
      </c>
      <c r="F318" t="s">
        <v>31</v>
      </c>
      <c r="G318" s="2">
        <v>84881</v>
      </c>
      <c r="H318" t="s">
        <v>24</v>
      </c>
      <c r="I318" s="1">
        <v>44650</v>
      </c>
      <c r="J318" t="str">
        <f t="shared" si="16"/>
        <v>Boomers</v>
      </c>
      <c r="K318" t="str" cm="1">
        <f t="array" ref="K318">_xlfn.IFS(G318&lt;=50000,"Low",G318&lt;=100000,"Medium",G318&lt;=150000,"High",G318&gt;=150001,"Premium")</f>
        <v>Medium</v>
      </c>
      <c r="L318" s="3">
        <f t="shared" ca="1" si="17"/>
        <v>3</v>
      </c>
      <c r="M318" t="str">
        <f t="shared" ca="1" si="18"/>
        <v>3-5yrs</v>
      </c>
      <c r="N318" s="3">
        <f t="shared" ca="1" si="19"/>
        <v>319</v>
      </c>
    </row>
    <row r="319" spans="1:14" x14ac:dyDescent="0.35">
      <c r="A319" t="s">
        <v>659</v>
      </c>
      <c r="B319" t="s">
        <v>660</v>
      </c>
      <c r="C319" t="s">
        <v>11</v>
      </c>
      <c r="D319">
        <v>30</v>
      </c>
      <c r="E319" t="s">
        <v>18</v>
      </c>
      <c r="F319" t="s">
        <v>23</v>
      </c>
      <c r="G319" s="2">
        <v>110827</v>
      </c>
      <c r="H319" t="s">
        <v>20</v>
      </c>
      <c r="I319" s="1">
        <v>42381</v>
      </c>
      <c r="J319" t="str">
        <f t="shared" si="16"/>
        <v>Millennials</v>
      </c>
      <c r="K319" t="str" cm="1">
        <f t="array" ref="K319">_xlfn.IFS(G319&lt;=50000,"Low",G319&lt;=100000,"Medium",G319&lt;=150000,"High",G319&gt;=150001,"Premium")</f>
        <v>High</v>
      </c>
      <c r="L319" s="3">
        <f t="shared" ca="1" si="17"/>
        <v>9</v>
      </c>
      <c r="M319" t="str">
        <f t="shared" ca="1" si="18"/>
        <v>5yrs +</v>
      </c>
      <c r="N319" s="3">
        <f t="shared" ca="1" si="19"/>
        <v>17</v>
      </c>
    </row>
    <row r="320" spans="1:14" x14ac:dyDescent="0.35">
      <c r="A320" t="s">
        <v>661</v>
      </c>
      <c r="B320" t="s">
        <v>662</v>
      </c>
      <c r="C320" t="s">
        <v>11</v>
      </c>
      <c r="D320">
        <v>57</v>
      </c>
      <c r="E320" t="s">
        <v>18</v>
      </c>
      <c r="F320" t="s">
        <v>42</v>
      </c>
      <c r="G320" s="2">
        <v>122215</v>
      </c>
      <c r="H320" t="s">
        <v>24</v>
      </c>
      <c r="I320" s="1">
        <v>43637</v>
      </c>
      <c r="J320" t="str">
        <f t="shared" si="16"/>
        <v>Gen X</v>
      </c>
      <c r="K320" t="str" cm="1">
        <f t="array" ref="K320">_xlfn.IFS(G320&lt;=50000,"Low",G320&lt;=100000,"Medium",G320&lt;=150000,"High",G320&gt;=150001,"Premium")</f>
        <v>High</v>
      </c>
      <c r="L320" s="3">
        <f t="shared" ca="1" si="17"/>
        <v>6</v>
      </c>
      <c r="M320" t="str">
        <f t="shared" ca="1" si="18"/>
        <v>5yrs +</v>
      </c>
      <c r="N320" s="3">
        <f t="shared" ca="1" si="19"/>
        <v>169</v>
      </c>
    </row>
    <row r="321" spans="1:14" x14ac:dyDescent="0.35">
      <c r="A321" t="s">
        <v>663</v>
      </c>
      <c r="B321" t="s">
        <v>664</v>
      </c>
      <c r="C321" t="s">
        <v>17</v>
      </c>
      <c r="D321">
        <v>59</v>
      </c>
      <c r="E321" t="s">
        <v>30</v>
      </c>
      <c r="F321" t="s">
        <v>42</v>
      </c>
      <c r="G321" s="2">
        <v>177361</v>
      </c>
      <c r="H321" t="s">
        <v>14</v>
      </c>
      <c r="I321" s="1">
        <v>45185</v>
      </c>
      <c r="J321" t="str">
        <f t="shared" si="16"/>
        <v>Gen X</v>
      </c>
      <c r="K321" t="str" cm="1">
        <f t="array" ref="K321">_xlfn.IFS(G321&lt;=50000,"Low",G321&lt;=100000,"Medium",G321&lt;=150000,"High",G321&gt;=150001,"Premium")</f>
        <v>Premium</v>
      </c>
      <c r="L321" s="3">
        <f t="shared" ca="1" si="17"/>
        <v>2</v>
      </c>
      <c r="M321" t="str">
        <f t="shared" ca="1" si="18"/>
        <v>1-3yrs</v>
      </c>
      <c r="N321" s="3">
        <f t="shared" ca="1" si="19"/>
        <v>367</v>
      </c>
    </row>
    <row r="322" spans="1:14" x14ac:dyDescent="0.35">
      <c r="A322" t="s">
        <v>665</v>
      </c>
      <c r="B322" t="s">
        <v>666</v>
      </c>
      <c r="C322" t="s">
        <v>17</v>
      </c>
      <c r="D322">
        <v>26</v>
      </c>
      <c r="E322" t="s">
        <v>12</v>
      </c>
      <c r="F322" t="s">
        <v>31</v>
      </c>
      <c r="G322" s="2">
        <v>154461</v>
      </c>
      <c r="H322" t="s">
        <v>14</v>
      </c>
      <c r="I322" s="1">
        <v>44900</v>
      </c>
      <c r="J322" t="str">
        <f t="shared" ref="J322:J385" si="20">IF(D322&lt;=28, "Gen Z",IF(D322&lt;=44,"Millennials",IF(D322&lt;=60, "Gen X","Boomers")))</f>
        <v>Gen Z</v>
      </c>
      <c r="K322" t="str" cm="1">
        <f t="array" ref="K322">_xlfn.IFS(G322&lt;=50000,"Low",G322&lt;=100000,"Medium",G322&lt;=150000,"High",G322&gt;=150001,"Premium")</f>
        <v>Premium</v>
      </c>
      <c r="L322" s="3">
        <f t="shared" ref="L322:L385" ca="1" si="21">YEAR(TODAY())-YEAR(I322)-(DATE(YEAR(TODAY()),MONTH(I322),DAY(I322))&gt;TODAY())</f>
        <v>2</v>
      </c>
      <c r="M322" t="str">
        <f t="shared" ref="M322:M385" ca="1" si="22">IF(L322&lt;1,"0-1yr",IF(L322&lt;3,"1-3yrs",IF(L322&lt;5,"3-5yrs","5yrs +")))</f>
        <v>1-3yrs</v>
      </c>
      <c r="N322" s="3">
        <f t="shared" ref="N322:N385" ca="1" si="23">COUNTIFS($L$2:$L$501,"&gt;"&amp;L322)+1</f>
        <v>367</v>
      </c>
    </row>
    <row r="323" spans="1:14" x14ac:dyDescent="0.35">
      <c r="A323" t="s">
        <v>667</v>
      </c>
      <c r="B323" t="s">
        <v>668</v>
      </c>
      <c r="C323" t="s">
        <v>11</v>
      </c>
      <c r="D323">
        <v>67</v>
      </c>
      <c r="E323" t="s">
        <v>18</v>
      </c>
      <c r="F323" t="s">
        <v>31</v>
      </c>
      <c r="G323" s="2">
        <v>176755</v>
      </c>
      <c r="H323" t="s">
        <v>14</v>
      </c>
      <c r="I323" s="1">
        <v>43613</v>
      </c>
      <c r="J323" t="str">
        <f t="shared" si="20"/>
        <v>Boomers</v>
      </c>
      <c r="K323" t="str" cm="1">
        <f t="array" ref="K323">_xlfn.IFS(G323&lt;=50000,"Low",G323&lt;=100000,"Medium",G323&lt;=150000,"High",G323&gt;=150001,"Premium")</f>
        <v>Premium</v>
      </c>
      <c r="L323" s="3">
        <f t="shared" ca="1" si="21"/>
        <v>6</v>
      </c>
      <c r="M323" t="str">
        <f t="shared" ca="1" si="22"/>
        <v>5yrs +</v>
      </c>
      <c r="N323" s="3">
        <f t="shared" ca="1" si="23"/>
        <v>169</v>
      </c>
    </row>
    <row r="324" spans="1:14" x14ac:dyDescent="0.35">
      <c r="A324" t="s">
        <v>669</v>
      </c>
      <c r="B324" t="s">
        <v>670</v>
      </c>
      <c r="C324" t="s">
        <v>17</v>
      </c>
      <c r="D324">
        <v>44</v>
      </c>
      <c r="E324" t="s">
        <v>18</v>
      </c>
      <c r="F324" t="s">
        <v>27</v>
      </c>
      <c r="G324" s="2">
        <v>164701</v>
      </c>
      <c r="H324" t="s">
        <v>14</v>
      </c>
      <c r="I324" s="1">
        <v>43365</v>
      </c>
      <c r="J324" t="str">
        <f t="shared" si="20"/>
        <v>Millennials</v>
      </c>
      <c r="K324" t="str" cm="1">
        <f t="array" ref="K324">_xlfn.IFS(G324&lt;=50000,"Low",G324&lt;=100000,"Medium",G324&lt;=150000,"High",G324&gt;=150001,"Premium")</f>
        <v>Premium</v>
      </c>
      <c r="L324" s="3">
        <f t="shared" ca="1" si="21"/>
        <v>7</v>
      </c>
      <c r="M324" t="str">
        <f t="shared" ca="1" si="22"/>
        <v>5yrs +</v>
      </c>
      <c r="N324" s="3">
        <f t="shared" ca="1" si="23"/>
        <v>118</v>
      </c>
    </row>
    <row r="325" spans="1:14" x14ac:dyDescent="0.35">
      <c r="A325" t="s">
        <v>671</v>
      </c>
      <c r="B325" t="s">
        <v>672</v>
      </c>
      <c r="C325" t="s">
        <v>17</v>
      </c>
      <c r="D325">
        <v>19</v>
      </c>
      <c r="E325" t="s">
        <v>12</v>
      </c>
      <c r="F325" t="s">
        <v>37</v>
      </c>
      <c r="G325" s="2">
        <v>81550</v>
      </c>
      <c r="H325" t="s">
        <v>20</v>
      </c>
      <c r="I325" s="1">
        <v>42817</v>
      </c>
      <c r="J325" t="str">
        <f t="shared" si="20"/>
        <v>Gen Z</v>
      </c>
      <c r="K325" t="str" cm="1">
        <f t="array" ref="K325">_xlfn.IFS(G325&lt;=50000,"Low",G325&lt;=100000,"Medium",G325&lt;=150000,"High",G325&gt;=150001,"Premium")</f>
        <v>Medium</v>
      </c>
      <c r="L325" s="3">
        <f t="shared" ca="1" si="21"/>
        <v>8</v>
      </c>
      <c r="M325" t="str">
        <f t="shared" ca="1" si="22"/>
        <v>5yrs +</v>
      </c>
      <c r="N325" s="3">
        <f t="shared" ca="1" si="23"/>
        <v>59</v>
      </c>
    </row>
    <row r="326" spans="1:14" x14ac:dyDescent="0.35">
      <c r="A326" t="s">
        <v>673</v>
      </c>
      <c r="B326" t="s">
        <v>674</v>
      </c>
      <c r="C326" t="s">
        <v>17</v>
      </c>
      <c r="D326">
        <v>22</v>
      </c>
      <c r="E326" t="s">
        <v>34</v>
      </c>
      <c r="F326" t="s">
        <v>23</v>
      </c>
      <c r="G326" s="2">
        <v>44826</v>
      </c>
      <c r="H326" t="s">
        <v>14</v>
      </c>
      <c r="I326" s="1">
        <v>44640</v>
      </c>
      <c r="J326" t="str">
        <f t="shared" si="20"/>
        <v>Gen Z</v>
      </c>
      <c r="K326" t="str" cm="1">
        <f t="array" ref="K326">_xlfn.IFS(G326&lt;=50000,"Low",G326&lt;=100000,"Medium",G326&lt;=150000,"High",G326&gt;=150001,"Premium")</f>
        <v>Low</v>
      </c>
      <c r="L326" s="3">
        <f t="shared" ca="1" si="21"/>
        <v>3</v>
      </c>
      <c r="M326" t="str">
        <f t="shared" ca="1" si="22"/>
        <v>3-5yrs</v>
      </c>
      <c r="N326" s="3">
        <f t="shared" ca="1" si="23"/>
        <v>319</v>
      </c>
    </row>
    <row r="327" spans="1:14" x14ac:dyDescent="0.35">
      <c r="A327" t="s">
        <v>675</v>
      </c>
      <c r="B327" t="s">
        <v>676</v>
      </c>
      <c r="C327" t="s">
        <v>17</v>
      </c>
      <c r="D327">
        <v>46</v>
      </c>
      <c r="E327" t="s">
        <v>34</v>
      </c>
      <c r="F327" t="s">
        <v>19</v>
      </c>
      <c r="G327" s="2">
        <v>120734</v>
      </c>
      <c r="H327" t="s">
        <v>14</v>
      </c>
      <c r="I327" s="1">
        <v>43847</v>
      </c>
      <c r="J327" t="str">
        <f t="shared" si="20"/>
        <v>Gen X</v>
      </c>
      <c r="K327" t="str" cm="1">
        <f t="array" ref="K327">_xlfn.IFS(G327&lt;=50000,"Low",G327&lt;=100000,"Medium",G327&lt;=150000,"High",G327&gt;=150001,"Premium")</f>
        <v>High</v>
      </c>
      <c r="L327" s="3">
        <f t="shared" ca="1" si="21"/>
        <v>5</v>
      </c>
      <c r="M327" t="str">
        <f t="shared" ca="1" si="22"/>
        <v>5yrs +</v>
      </c>
      <c r="N327" s="3">
        <f t="shared" ca="1" si="23"/>
        <v>227</v>
      </c>
    </row>
    <row r="328" spans="1:14" x14ac:dyDescent="0.35">
      <c r="A328" t="s">
        <v>677</v>
      </c>
      <c r="B328" t="s">
        <v>678</v>
      </c>
      <c r="C328" t="s">
        <v>11</v>
      </c>
      <c r="D328">
        <v>54</v>
      </c>
      <c r="E328" t="s">
        <v>30</v>
      </c>
      <c r="F328" t="s">
        <v>42</v>
      </c>
      <c r="G328" s="2">
        <v>177702</v>
      </c>
      <c r="H328" t="s">
        <v>14</v>
      </c>
      <c r="I328" s="1">
        <v>45127</v>
      </c>
      <c r="J328" t="str">
        <f t="shared" si="20"/>
        <v>Gen X</v>
      </c>
      <c r="K328" t="str" cm="1">
        <f t="array" ref="K328">_xlfn.IFS(G328&lt;=50000,"Low",G328&lt;=100000,"Medium",G328&lt;=150000,"High",G328&gt;=150001,"Premium")</f>
        <v>Premium</v>
      </c>
      <c r="L328" s="3">
        <f t="shared" ca="1" si="21"/>
        <v>2</v>
      </c>
      <c r="M328" t="str">
        <f t="shared" ca="1" si="22"/>
        <v>1-3yrs</v>
      </c>
      <c r="N328" s="3">
        <f t="shared" ca="1" si="23"/>
        <v>367</v>
      </c>
    </row>
    <row r="329" spans="1:14" x14ac:dyDescent="0.35">
      <c r="A329" t="s">
        <v>679</v>
      </c>
      <c r="B329" t="s">
        <v>680</v>
      </c>
      <c r="C329" t="s">
        <v>11</v>
      </c>
      <c r="D329">
        <v>55</v>
      </c>
      <c r="E329" t="s">
        <v>34</v>
      </c>
      <c r="F329" t="s">
        <v>19</v>
      </c>
      <c r="G329" s="2">
        <v>197235</v>
      </c>
      <c r="H329" t="s">
        <v>14</v>
      </c>
      <c r="I329" s="1">
        <v>44461</v>
      </c>
      <c r="J329" t="str">
        <f t="shared" si="20"/>
        <v>Gen X</v>
      </c>
      <c r="K329" t="str" cm="1">
        <f t="array" ref="K329">_xlfn.IFS(G329&lt;=50000,"Low",G329&lt;=100000,"Medium",G329&lt;=150000,"High",G329&gt;=150001,"Premium")</f>
        <v>Premium</v>
      </c>
      <c r="L329" s="3">
        <f t="shared" ca="1" si="21"/>
        <v>4</v>
      </c>
      <c r="M329" t="str">
        <f t="shared" ca="1" si="22"/>
        <v>3-5yrs</v>
      </c>
      <c r="N329" s="3">
        <f t="shared" ca="1" si="23"/>
        <v>273</v>
      </c>
    </row>
    <row r="330" spans="1:14" x14ac:dyDescent="0.35">
      <c r="A330" t="s">
        <v>681</v>
      </c>
      <c r="B330" t="s">
        <v>682</v>
      </c>
      <c r="C330" t="s">
        <v>17</v>
      </c>
      <c r="D330">
        <v>36</v>
      </c>
      <c r="E330" t="s">
        <v>12</v>
      </c>
      <c r="F330" t="s">
        <v>13</v>
      </c>
      <c r="G330" s="2">
        <v>118511</v>
      </c>
      <c r="H330" t="s">
        <v>20</v>
      </c>
      <c r="I330" s="1">
        <v>44791</v>
      </c>
      <c r="J330" t="str">
        <f t="shared" si="20"/>
        <v>Millennials</v>
      </c>
      <c r="K330" t="str" cm="1">
        <f t="array" ref="K330">_xlfn.IFS(G330&lt;=50000,"Low",G330&lt;=100000,"Medium",G330&lt;=150000,"High",G330&gt;=150001,"Premium")</f>
        <v>High</v>
      </c>
      <c r="L330" s="3">
        <f t="shared" ca="1" si="21"/>
        <v>3</v>
      </c>
      <c r="M330" t="str">
        <f t="shared" ca="1" si="22"/>
        <v>3-5yrs</v>
      </c>
      <c r="N330" s="3">
        <f t="shared" ca="1" si="23"/>
        <v>319</v>
      </c>
    </row>
    <row r="331" spans="1:14" x14ac:dyDescent="0.35">
      <c r="A331" t="s">
        <v>683</v>
      </c>
      <c r="B331" t="s">
        <v>684</v>
      </c>
      <c r="C331" t="s">
        <v>17</v>
      </c>
      <c r="D331">
        <v>25</v>
      </c>
      <c r="E331" t="s">
        <v>18</v>
      </c>
      <c r="F331" t="s">
        <v>13</v>
      </c>
      <c r="G331" s="2">
        <v>31653</v>
      </c>
      <c r="H331" t="s">
        <v>14</v>
      </c>
      <c r="I331" s="1">
        <v>42830</v>
      </c>
      <c r="J331" t="str">
        <f t="shared" si="20"/>
        <v>Gen Z</v>
      </c>
      <c r="K331" t="str" cm="1">
        <f t="array" ref="K331">_xlfn.IFS(G331&lt;=50000,"Low",G331&lt;=100000,"Medium",G331&lt;=150000,"High",G331&gt;=150001,"Premium")</f>
        <v>Low</v>
      </c>
      <c r="L331" s="3">
        <f t="shared" ca="1" si="21"/>
        <v>8</v>
      </c>
      <c r="M331" t="str">
        <f t="shared" ca="1" si="22"/>
        <v>5yrs +</v>
      </c>
      <c r="N331" s="3">
        <f t="shared" ca="1" si="23"/>
        <v>59</v>
      </c>
    </row>
    <row r="332" spans="1:14" x14ac:dyDescent="0.35">
      <c r="A332" t="s">
        <v>685</v>
      </c>
      <c r="B332" t="s">
        <v>686</v>
      </c>
      <c r="C332" t="s">
        <v>11</v>
      </c>
      <c r="D332">
        <v>65</v>
      </c>
      <c r="E332" t="s">
        <v>34</v>
      </c>
      <c r="F332" t="s">
        <v>19</v>
      </c>
      <c r="G332" s="2">
        <v>179033</v>
      </c>
      <c r="H332" t="s">
        <v>14</v>
      </c>
      <c r="I332" s="1">
        <v>43776</v>
      </c>
      <c r="J332" t="str">
        <f t="shared" si="20"/>
        <v>Boomers</v>
      </c>
      <c r="K332" t="str" cm="1">
        <f t="array" ref="K332">_xlfn.IFS(G332&lt;=50000,"Low",G332&lt;=100000,"Medium",G332&lt;=150000,"High",G332&gt;=150001,"Premium")</f>
        <v>Premium</v>
      </c>
      <c r="L332" s="3">
        <f t="shared" ca="1" si="21"/>
        <v>6</v>
      </c>
      <c r="M332" t="str">
        <f t="shared" ca="1" si="22"/>
        <v>5yrs +</v>
      </c>
      <c r="N332" s="3">
        <f t="shared" ca="1" si="23"/>
        <v>169</v>
      </c>
    </row>
    <row r="333" spans="1:14" x14ac:dyDescent="0.35">
      <c r="A333" t="s">
        <v>687</v>
      </c>
      <c r="B333" t="s">
        <v>688</v>
      </c>
      <c r="C333" t="s">
        <v>11</v>
      </c>
      <c r="D333">
        <v>62</v>
      </c>
      <c r="E333" t="s">
        <v>30</v>
      </c>
      <c r="F333" t="s">
        <v>13</v>
      </c>
      <c r="G333" s="2">
        <v>101941</v>
      </c>
      <c r="H333" t="s">
        <v>14</v>
      </c>
      <c r="I333" s="1">
        <v>44448</v>
      </c>
      <c r="J333" t="str">
        <f t="shared" si="20"/>
        <v>Boomers</v>
      </c>
      <c r="K333" t="str" cm="1">
        <f t="array" ref="K333">_xlfn.IFS(G333&lt;=50000,"Low",G333&lt;=100000,"Medium",G333&lt;=150000,"High",G333&gt;=150001,"Premium")</f>
        <v>High</v>
      </c>
      <c r="L333" s="3">
        <f t="shared" ca="1" si="21"/>
        <v>4</v>
      </c>
      <c r="M333" t="str">
        <f t="shared" ca="1" si="22"/>
        <v>3-5yrs</v>
      </c>
      <c r="N333" s="3">
        <f t="shared" ca="1" si="23"/>
        <v>273</v>
      </c>
    </row>
    <row r="334" spans="1:14" x14ac:dyDescent="0.35">
      <c r="A334" t="s">
        <v>689</v>
      </c>
      <c r="B334" t="s">
        <v>690</v>
      </c>
      <c r="C334" t="s">
        <v>17</v>
      </c>
      <c r="D334">
        <v>18</v>
      </c>
      <c r="E334" t="s">
        <v>34</v>
      </c>
      <c r="F334" t="s">
        <v>37</v>
      </c>
      <c r="G334" s="2">
        <v>53662</v>
      </c>
      <c r="H334" t="s">
        <v>14</v>
      </c>
      <c r="I334" s="1">
        <v>42347</v>
      </c>
      <c r="J334" t="str">
        <f t="shared" si="20"/>
        <v>Gen Z</v>
      </c>
      <c r="K334" t="str" cm="1">
        <f t="array" ref="K334">_xlfn.IFS(G334&lt;=50000,"Low",G334&lt;=100000,"Medium",G334&lt;=150000,"High",G334&gt;=150001,"Premium")</f>
        <v>Medium</v>
      </c>
      <c r="L334" s="3">
        <f t="shared" ca="1" si="21"/>
        <v>9</v>
      </c>
      <c r="M334" t="str">
        <f t="shared" ca="1" si="22"/>
        <v>5yrs +</v>
      </c>
      <c r="N334" s="3">
        <f t="shared" ca="1" si="23"/>
        <v>17</v>
      </c>
    </row>
    <row r="335" spans="1:14" x14ac:dyDescent="0.35">
      <c r="A335" t="s">
        <v>691</v>
      </c>
      <c r="B335" t="s">
        <v>692</v>
      </c>
      <c r="C335" t="s">
        <v>11</v>
      </c>
      <c r="D335">
        <v>39</v>
      </c>
      <c r="E335" t="s">
        <v>12</v>
      </c>
      <c r="F335" t="s">
        <v>31</v>
      </c>
      <c r="G335" s="2">
        <v>118818</v>
      </c>
      <c r="H335" t="s">
        <v>20</v>
      </c>
      <c r="I335" s="1">
        <v>43494</v>
      </c>
      <c r="J335" t="str">
        <f t="shared" si="20"/>
        <v>Millennials</v>
      </c>
      <c r="K335" t="str" cm="1">
        <f t="array" ref="K335">_xlfn.IFS(G335&lt;=50000,"Low",G335&lt;=100000,"Medium",G335&lt;=150000,"High",G335&gt;=150001,"Premium")</f>
        <v>High</v>
      </c>
      <c r="L335" s="3">
        <f t="shared" ca="1" si="21"/>
        <v>6</v>
      </c>
      <c r="M335" t="str">
        <f t="shared" ca="1" si="22"/>
        <v>5yrs +</v>
      </c>
      <c r="N335" s="3">
        <f t="shared" ca="1" si="23"/>
        <v>169</v>
      </c>
    </row>
    <row r="336" spans="1:14" x14ac:dyDescent="0.35">
      <c r="A336" t="s">
        <v>693</v>
      </c>
      <c r="B336" t="s">
        <v>694</v>
      </c>
      <c r="C336" t="s">
        <v>17</v>
      </c>
      <c r="D336">
        <v>69</v>
      </c>
      <c r="E336" t="s">
        <v>30</v>
      </c>
      <c r="F336" t="s">
        <v>13</v>
      </c>
      <c r="G336" s="2">
        <v>172360</v>
      </c>
      <c r="H336" t="s">
        <v>20</v>
      </c>
      <c r="I336" s="1">
        <v>44573</v>
      </c>
      <c r="J336" t="str">
        <f t="shared" si="20"/>
        <v>Boomers</v>
      </c>
      <c r="K336" t="str" cm="1">
        <f t="array" ref="K336">_xlfn.IFS(G336&lt;=50000,"Low",G336&lt;=100000,"Medium",G336&lt;=150000,"High",G336&gt;=150001,"Premium")</f>
        <v>Premium</v>
      </c>
      <c r="L336" s="3">
        <f t="shared" ca="1" si="21"/>
        <v>3</v>
      </c>
      <c r="M336" t="str">
        <f t="shared" ca="1" si="22"/>
        <v>3-5yrs</v>
      </c>
      <c r="N336" s="3">
        <f t="shared" ca="1" si="23"/>
        <v>319</v>
      </c>
    </row>
    <row r="337" spans="1:14" x14ac:dyDescent="0.35">
      <c r="A337" t="s">
        <v>695</v>
      </c>
      <c r="B337" t="s">
        <v>696</v>
      </c>
      <c r="C337" t="s">
        <v>17</v>
      </c>
      <c r="D337">
        <v>34</v>
      </c>
      <c r="E337" t="s">
        <v>34</v>
      </c>
      <c r="F337" t="s">
        <v>27</v>
      </c>
      <c r="G337" s="2">
        <v>115081</v>
      </c>
      <c r="H337" t="s">
        <v>24</v>
      </c>
      <c r="I337" s="1">
        <v>42817</v>
      </c>
      <c r="J337" t="str">
        <f t="shared" si="20"/>
        <v>Millennials</v>
      </c>
      <c r="K337" t="str" cm="1">
        <f t="array" ref="K337">_xlfn.IFS(G337&lt;=50000,"Low",G337&lt;=100000,"Medium",G337&lt;=150000,"High",G337&gt;=150001,"Premium")</f>
        <v>High</v>
      </c>
      <c r="L337" s="3">
        <f t="shared" ca="1" si="21"/>
        <v>8</v>
      </c>
      <c r="M337" t="str">
        <f t="shared" ca="1" si="22"/>
        <v>5yrs +</v>
      </c>
      <c r="N337" s="3">
        <f t="shared" ca="1" si="23"/>
        <v>59</v>
      </c>
    </row>
    <row r="338" spans="1:14" x14ac:dyDescent="0.35">
      <c r="A338" t="s">
        <v>697</v>
      </c>
      <c r="B338" t="s">
        <v>698</v>
      </c>
      <c r="C338" t="s">
        <v>11</v>
      </c>
      <c r="D338">
        <v>24</v>
      </c>
      <c r="E338" t="s">
        <v>30</v>
      </c>
      <c r="F338" t="s">
        <v>13</v>
      </c>
      <c r="G338" s="2">
        <v>56877</v>
      </c>
      <c r="H338" t="s">
        <v>20</v>
      </c>
      <c r="I338" s="1">
        <v>45877</v>
      </c>
      <c r="J338" t="str">
        <f t="shared" si="20"/>
        <v>Gen Z</v>
      </c>
      <c r="K338" t="str" cm="1">
        <f t="array" ref="K338">_xlfn.IFS(G338&lt;=50000,"Low",G338&lt;=100000,"Medium",G338&lt;=150000,"High",G338&gt;=150001,"Premium")</f>
        <v>Medium</v>
      </c>
      <c r="L338" s="3">
        <f t="shared" ca="1" si="21"/>
        <v>0</v>
      </c>
      <c r="M338" t="str">
        <f t="shared" ca="1" si="22"/>
        <v>0-1yr</v>
      </c>
      <c r="N338" s="3">
        <f t="shared" ca="1" si="23"/>
        <v>475</v>
      </c>
    </row>
    <row r="339" spans="1:14" x14ac:dyDescent="0.35">
      <c r="A339" t="s">
        <v>699</v>
      </c>
      <c r="B339" t="s">
        <v>700</v>
      </c>
      <c r="C339" t="s">
        <v>11</v>
      </c>
      <c r="D339">
        <v>42</v>
      </c>
      <c r="E339" t="s">
        <v>12</v>
      </c>
      <c r="F339" t="s">
        <v>23</v>
      </c>
      <c r="G339" s="2">
        <v>131562</v>
      </c>
      <c r="H339" t="s">
        <v>14</v>
      </c>
      <c r="I339" s="1">
        <v>44868</v>
      </c>
      <c r="J339" t="str">
        <f t="shared" si="20"/>
        <v>Millennials</v>
      </c>
      <c r="K339" t="str" cm="1">
        <f t="array" ref="K339">_xlfn.IFS(G339&lt;=50000,"Low",G339&lt;=100000,"Medium",G339&lt;=150000,"High",G339&gt;=150001,"Premium")</f>
        <v>High</v>
      </c>
      <c r="L339" s="3">
        <f t="shared" ca="1" si="21"/>
        <v>3</v>
      </c>
      <c r="M339" t="str">
        <f t="shared" ca="1" si="22"/>
        <v>3-5yrs</v>
      </c>
      <c r="N339" s="3">
        <f t="shared" ca="1" si="23"/>
        <v>319</v>
      </c>
    </row>
    <row r="340" spans="1:14" x14ac:dyDescent="0.35">
      <c r="A340" t="s">
        <v>701</v>
      </c>
      <c r="B340" t="s">
        <v>702</v>
      </c>
      <c r="C340" t="s">
        <v>17</v>
      </c>
      <c r="D340">
        <v>62</v>
      </c>
      <c r="E340" t="s">
        <v>18</v>
      </c>
      <c r="F340" t="s">
        <v>37</v>
      </c>
      <c r="G340" s="2">
        <v>166385</v>
      </c>
      <c r="H340" t="s">
        <v>20</v>
      </c>
      <c r="I340" s="1">
        <v>43280</v>
      </c>
      <c r="J340" t="str">
        <f t="shared" si="20"/>
        <v>Boomers</v>
      </c>
      <c r="K340" t="str" cm="1">
        <f t="array" ref="K340">_xlfn.IFS(G340&lt;=50000,"Low",G340&lt;=100000,"Medium",G340&lt;=150000,"High",G340&gt;=150001,"Premium")</f>
        <v>Premium</v>
      </c>
      <c r="L340" s="3">
        <f t="shared" ca="1" si="21"/>
        <v>7</v>
      </c>
      <c r="M340" t="str">
        <f t="shared" ca="1" si="22"/>
        <v>5yrs +</v>
      </c>
      <c r="N340" s="3">
        <f t="shared" ca="1" si="23"/>
        <v>118</v>
      </c>
    </row>
    <row r="341" spans="1:14" x14ac:dyDescent="0.35">
      <c r="A341" t="s">
        <v>703</v>
      </c>
      <c r="B341" t="s">
        <v>704</v>
      </c>
      <c r="C341" t="s">
        <v>17</v>
      </c>
      <c r="D341">
        <v>21</v>
      </c>
      <c r="E341" t="s">
        <v>12</v>
      </c>
      <c r="F341" t="s">
        <v>23</v>
      </c>
      <c r="G341" s="2">
        <v>92715</v>
      </c>
      <c r="H341" t="s">
        <v>14</v>
      </c>
      <c r="I341" s="1">
        <v>42927</v>
      </c>
      <c r="J341" t="str">
        <f t="shared" si="20"/>
        <v>Gen Z</v>
      </c>
      <c r="K341" t="str" cm="1">
        <f t="array" ref="K341">_xlfn.IFS(G341&lt;=50000,"Low",G341&lt;=100000,"Medium",G341&lt;=150000,"High",G341&gt;=150001,"Premium")</f>
        <v>Medium</v>
      </c>
      <c r="L341" s="3">
        <f t="shared" ca="1" si="21"/>
        <v>8</v>
      </c>
      <c r="M341" t="str">
        <f t="shared" ca="1" si="22"/>
        <v>5yrs +</v>
      </c>
      <c r="N341" s="3">
        <f t="shared" ca="1" si="23"/>
        <v>59</v>
      </c>
    </row>
    <row r="342" spans="1:14" x14ac:dyDescent="0.35">
      <c r="A342" t="s">
        <v>705</v>
      </c>
      <c r="B342" t="s">
        <v>706</v>
      </c>
      <c r="C342" t="s">
        <v>11</v>
      </c>
      <c r="D342">
        <v>53</v>
      </c>
      <c r="E342" t="s">
        <v>12</v>
      </c>
      <c r="F342" t="s">
        <v>23</v>
      </c>
      <c r="G342" s="2">
        <v>161398</v>
      </c>
      <c r="H342" t="s">
        <v>14</v>
      </c>
      <c r="I342" s="1">
        <v>43009</v>
      </c>
      <c r="J342" t="str">
        <f t="shared" si="20"/>
        <v>Gen X</v>
      </c>
      <c r="K342" t="str" cm="1">
        <f t="array" ref="K342">_xlfn.IFS(G342&lt;=50000,"Low",G342&lt;=100000,"Medium",G342&lt;=150000,"High",G342&gt;=150001,"Premium")</f>
        <v>Premium</v>
      </c>
      <c r="L342" s="3">
        <f t="shared" ca="1" si="21"/>
        <v>8</v>
      </c>
      <c r="M342" t="str">
        <f t="shared" ca="1" si="22"/>
        <v>5yrs +</v>
      </c>
      <c r="N342" s="3">
        <f t="shared" ca="1" si="23"/>
        <v>59</v>
      </c>
    </row>
    <row r="343" spans="1:14" x14ac:dyDescent="0.35">
      <c r="A343" t="s">
        <v>707</v>
      </c>
      <c r="B343" t="s">
        <v>708</v>
      </c>
      <c r="C343" t="s">
        <v>17</v>
      </c>
      <c r="D343">
        <v>23</v>
      </c>
      <c r="E343" t="s">
        <v>12</v>
      </c>
      <c r="F343" t="s">
        <v>27</v>
      </c>
      <c r="G343" s="2">
        <v>130091</v>
      </c>
      <c r="H343" t="s">
        <v>20</v>
      </c>
      <c r="I343" s="1">
        <v>45017</v>
      </c>
      <c r="J343" t="str">
        <f t="shared" si="20"/>
        <v>Gen Z</v>
      </c>
      <c r="K343" t="str" cm="1">
        <f t="array" ref="K343">_xlfn.IFS(G343&lt;=50000,"Low",G343&lt;=100000,"Medium",G343&lt;=150000,"High",G343&gt;=150001,"Premium")</f>
        <v>High</v>
      </c>
      <c r="L343" s="3">
        <f t="shared" ca="1" si="21"/>
        <v>2</v>
      </c>
      <c r="M343" t="str">
        <f t="shared" ca="1" si="22"/>
        <v>1-3yrs</v>
      </c>
      <c r="N343" s="3">
        <f t="shared" ca="1" si="23"/>
        <v>367</v>
      </c>
    </row>
    <row r="344" spans="1:14" x14ac:dyDescent="0.35">
      <c r="A344" t="s">
        <v>709</v>
      </c>
      <c r="B344" t="s">
        <v>710</v>
      </c>
      <c r="C344" t="s">
        <v>11</v>
      </c>
      <c r="D344">
        <v>48</v>
      </c>
      <c r="E344" t="s">
        <v>12</v>
      </c>
      <c r="F344" t="s">
        <v>37</v>
      </c>
      <c r="G344" s="2">
        <v>152632</v>
      </c>
      <c r="H344" t="s">
        <v>14</v>
      </c>
      <c r="I344" s="1">
        <v>43154</v>
      </c>
      <c r="J344" t="str">
        <f t="shared" si="20"/>
        <v>Gen X</v>
      </c>
      <c r="K344" t="str" cm="1">
        <f t="array" ref="K344">_xlfn.IFS(G344&lt;=50000,"Low",G344&lt;=100000,"Medium",G344&lt;=150000,"High",G344&gt;=150001,"Premium")</f>
        <v>Premium</v>
      </c>
      <c r="L344" s="3">
        <f t="shared" ca="1" si="21"/>
        <v>7</v>
      </c>
      <c r="M344" t="str">
        <f t="shared" ca="1" si="22"/>
        <v>5yrs +</v>
      </c>
      <c r="N344" s="3">
        <f t="shared" ca="1" si="23"/>
        <v>118</v>
      </c>
    </row>
    <row r="345" spans="1:14" x14ac:dyDescent="0.35">
      <c r="A345" t="s">
        <v>711</v>
      </c>
      <c r="B345" t="s">
        <v>712</v>
      </c>
      <c r="C345" t="s">
        <v>17</v>
      </c>
      <c r="D345">
        <v>36</v>
      </c>
      <c r="E345" t="s">
        <v>18</v>
      </c>
      <c r="F345" t="s">
        <v>37</v>
      </c>
      <c r="G345" s="2">
        <v>99148</v>
      </c>
      <c r="H345" t="s">
        <v>24</v>
      </c>
      <c r="I345" s="1">
        <v>43052</v>
      </c>
      <c r="J345" t="str">
        <f t="shared" si="20"/>
        <v>Millennials</v>
      </c>
      <c r="K345" t="str" cm="1">
        <f t="array" ref="K345">_xlfn.IFS(G345&lt;=50000,"Low",G345&lt;=100000,"Medium",G345&lt;=150000,"High",G345&gt;=150001,"Premium")</f>
        <v>Medium</v>
      </c>
      <c r="L345" s="3">
        <f t="shared" ca="1" si="21"/>
        <v>8</v>
      </c>
      <c r="M345" t="str">
        <f t="shared" ca="1" si="22"/>
        <v>5yrs +</v>
      </c>
      <c r="N345" s="3">
        <f t="shared" ca="1" si="23"/>
        <v>59</v>
      </c>
    </row>
    <row r="346" spans="1:14" x14ac:dyDescent="0.35">
      <c r="A346" t="s">
        <v>713</v>
      </c>
      <c r="B346" t="s">
        <v>714</v>
      </c>
      <c r="C346" t="s">
        <v>11</v>
      </c>
      <c r="D346">
        <v>61</v>
      </c>
      <c r="E346" t="s">
        <v>18</v>
      </c>
      <c r="F346" t="s">
        <v>37</v>
      </c>
      <c r="G346" s="2">
        <v>103186</v>
      </c>
      <c r="H346" t="s">
        <v>14</v>
      </c>
      <c r="I346" s="1">
        <v>43704</v>
      </c>
      <c r="J346" t="str">
        <f t="shared" si="20"/>
        <v>Boomers</v>
      </c>
      <c r="K346" t="str" cm="1">
        <f t="array" ref="K346">_xlfn.IFS(G346&lt;=50000,"Low",G346&lt;=100000,"Medium",G346&lt;=150000,"High",G346&gt;=150001,"Premium")</f>
        <v>High</v>
      </c>
      <c r="L346" s="3">
        <f t="shared" ca="1" si="21"/>
        <v>6</v>
      </c>
      <c r="M346" t="str">
        <f t="shared" ca="1" si="22"/>
        <v>5yrs +</v>
      </c>
      <c r="N346" s="3">
        <f t="shared" ca="1" si="23"/>
        <v>169</v>
      </c>
    </row>
    <row r="347" spans="1:14" x14ac:dyDescent="0.35">
      <c r="A347" t="s">
        <v>715</v>
      </c>
      <c r="B347" t="s">
        <v>716</v>
      </c>
      <c r="C347" t="s">
        <v>11</v>
      </c>
      <c r="D347">
        <v>71</v>
      </c>
      <c r="E347" t="s">
        <v>30</v>
      </c>
      <c r="F347" t="s">
        <v>37</v>
      </c>
      <c r="G347" s="2">
        <v>177817</v>
      </c>
      <c r="H347" t="s">
        <v>20</v>
      </c>
      <c r="I347" s="1">
        <v>44709</v>
      </c>
      <c r="J347" t="str">
        <f t="shared" si="20"/>
        <v>Boomers</v>
      </c>
      <c r="K347" t="str" cm="1">
        <f t="array" ref="K347">_xlfn.IFS(G347&lt;=50000,"Low",G347&lt;=100000,"Medium",G347&lt;=150000,"High",G347&gt;=150001,"Premium")</f>
        <v>Premium</v>
      </c>
      <c r="L347" s="3">
        <f t="shared" ca="1" si="21"/>
        <v>3</v>
      </c>
      <c r="M347" t="str">
        <f t="shared" ca="1" si="22"/>
        <v>3-5yrs</v>
      </c>
      <c r="N347" s="3">
        <f t="shared" ca="1" si="23"/>
        <v>319</v>
      </c>
    </row>
    <row r="348" spans="1:14" x14ac:dyDescent="0.35">
      <c r="A348" t="s">
        <v>717</v>
      </c>
      <c r="B348" t="s">
        <v>718</v>
      </c>
      <c r="C348" t="s">
        <v>11</v>
      </c>
      <c r="D348">
        <v>56</v>
      </c>
      <c r="E348" t="s">
        <v>34</v>
      </c>
      <c r="F348" t="s">
        <v>37</v>
      </c>
      <c r="G348" s="2">
        <v>182962</v>
      </c>
      <c r="H348" t="s">
        <v>20</v>
      </c>
      <c r="I348" s="1">
        <v>45560</v>
      </c>
      <c r="J348" t="str">
        <f t="shared" si="20"/>
        <v>Gen X</v>
      </c>
      <c r="K348" t="str" cm="1">
        <f t="array" ref="K348">_xlfn.IFS(G348&lt;=50000,"Low",G348&lt;=100000,"Medium",G348&lt;=150000,"High",G348&gt;=150001,"Premium")</f>
        <v>Premium</v>
      </c>
      <c r="L348" s="3">
        <f t="shared" ca="1" si="21"/>
        <v>1</v>
      </c>
      <c r="M348" t="str">
        <f t="shared" ca="1" si="22"/>
        <v>1-3yrs</v>
      </c>
      <c r="N348" s="3">
        <f t="shared" ca="1" si="23"/>
        <v>422</v>
      </c>
    </row>
    <row r="349" spans="1:14" x14ac:dyDescent="0.35">
      <c r="A349" t="s">
        <v>719</v>
      </c>
      <c r="B349" t="s">
        <v>720</v>
      </c>
      <c r="C349" t="s">
        <v>17</v>
      </c>
      <c r="D349">
        <v>44</v>
      </c>
      <c r="E349" t="s">
        <v>18</v>
      </c>
      <c r="F349" t="s">
        <v>27</v>
      </c>
      <c r="G349" s="2">
        <v>171094</v>
      </c>
      <c r="H349" t="s">
        <v>20</v>
      </c>
      <c r="I349" s="1">
        <v>43485</v>
      </c>
      <c r="J349" t="str">
        <f t="shared" si="20"/>
        <v>Millennials</v>
      </c>
      <c r="K349" t="str" cm="1">
        <f t="array" ref="K349">_xlfn.IFS(G349&lt;=50000,"Low",G349&lt;=100000,"Medium",G349&lt;=150000,"High",G349&gt;=150001,"Premium")</f>
        <v>Premium</v>
      </c>
      <c r="L349" s="3">
        <f t="shared" ca="1" si="21"/>
        <v>6</v>
      </c>
      <c r="M349" t="str">
        <f t="shared" ca="1" si="22"/>
        <v>5yrs +</v>
      </c>
      <c r="N349" s="3">
        <f t="shared" ca="1" si="23"/>
        <v>169</v>
      </c>
    </row>
    <row r="350" spans="1:14" x14ac:dyDescent="0.35">
      <c r="A350" t="s">
        <v>721</v>
      </c>
      <c r="B350" t="s">
        <v>722</v>
      </c>
      <c r="C350" t="s">
        <v>17</v>
      </c>
      <c r="D350">
        <v>27</v>
      </c>
      <c r="E350" t="s">
        <v>18</v>
      </c>
      <c r="F350" t="s">
        <v>13</v>
      </c>
      <c r="G350" s="2">
        <v>143629</v>
      </c>
      <c r="H350" t="s">
        <v>20</v>
      </c>
      <c r="I350" s="1">
        <v>45888</v>
      </c>
      <c r="J350" t="str">
        <f t="shared" si="20"/>
        <v>Gen Z</v>
      </c>
      <c r="K350" t="str" cm="1">
        <f t="array" ref="K350">_xlfn.IFS(G350&lt;=50000,"Low",G350&lt;=100000,"Medium",G350&lt;=150000,"High",G350&gt;=150001,"Premium")</f>
        <v>High</v>
      </c>
      <c r="L350" s="3">
        <f t="shared" ca="1" si="21"/>
        <v>0</v>
      </c>
      <c r="M350" t="str">
        <f t="shared" ca="1" si="22"/>
        <v>0-1yr</v>
      </c>
      <c r="N350" s="3">
        <f t="shared" ca="1" si="23"/>
        <v>475</v>
      </c>
    </row>
    <row r="351" spans="1:14" x14ac:dyDescent="0.35">
      <c r="A351" t="s">
        <v>723</v>
      </c>
      <c r="B351" t="s">
        <v>724</v>
      </c>
      <c r="C351" t="s">
        <v>11</v>
      </c>
      <c r="D351">
        <v>43</v>
      </c>
      <c r="E351" t="s">
        <v>34</v>
      </c>
      <c r="F351" t="s">
        <v>23</v>
      </c>
      <c r="G351" s="2">
        <v>90316</v>
      </c>
      <c r="H351" t="s">
        <v>20</v>
      </c>
      <c r="I351" s="1">
        <v>44926</v>
      </c>
      <c r="J351" t="str">
        <f t="shared" si="20"/>
        <v>Millennials</v>
      </c>
      <c r="K351" t="str" cm="1">
        <f t="array" ref="K351">_xlfn.IFS(G351&lt;=50000,"Low",G351&lt;=100000,"Medium",G351&lt;=150000,"High",G351&gt;=150001,"Premium")</f>
        <v>Medium</v>
      </c>
      <c r="L351" s="3">
        <f t="shared" ca="1" si="21"/>
        <v>2</v>
      </c>
      <c r="M351" t="str">
        <f t="shared" ca="1" si="22"/>
        <v>1-3yrs</v>
      </c>
      <c r="N351" s="3">
        <f t="shared" ca="1" si="23"/>
        <v>367</v>
      </c>
    </row>
    <row r="352" spans="1:14" x14ac:dyDescent="0.35">
      <c r="A352" t="s">
        <v>725</v>
      </c>
      <c r="B352" t="s">
        <v>726</v>
      </c>
      <c r="C352" t="s">
        <v>17</v>
      </c>
      <c r="D352">
        <v>36</v>
      </c>
      <c r="E352" t="s">
        <v>18</v>
      </c>
      <c r="F352" t="s">
        <v>37</v>
      </c>
      <c r="G352" s="2">
        <v>48380</v>
      </c>
      <c r="H352" t="s">
        <v>14</v>
      </c>
      <c r="I352" s="1">
        <v>44241</v>
      </c>
      <c r="J352" t="str">
        <f t="shared" si="20"/>
        <v>Millennials</v>
      </c>
      <c r="K352" t="str" cm="1">
        <f t="array" ref="K352">_xlfn.IFS(G352&lt;=50000,"Low",G352&lt;=100000,"Medium",G352&lt;=150000,"High",G352&gt;=150001,"Premium")</f>
        <v>Low</v>
      </c>
      <c r="L352" s="3">
        <f t="shared" ca="1" si="21"/>
        <v>4</v>
      </c>
      <c r="M352" t="str">
        <f t="shared" ca="1" si="22"/>
        <v>3-5yrs</v>
      </c>
      <c r="N352" s="3">
        <f t="shared" ca="1" si="23"/>
        <v>273</v>
      </c>
    </row>
    <row r="353" spans="1:14" x14ac:dyDescent="0.35">
      <c r="A353" t="s">
        <v>727</v>
      </c>
      <c r="B353" t="s">
        <v>728</v>
      </c>
      <c r="C353" t="s">
        <v>11</v>
      </c>
      <c r="D353">
        <v>56</v>
      </c>
      <c r="E353" t="s">
        <v>12</v>
      </c>
      <c r="F353" t="s">
        <v>42</v>
      </c>
      <c r="G353" s="2">
        <v>130198</v>
      </c>
      <c r="H353" t="s">
        <v>14</v>
      </c>
      <c r="I353" s="1">
        <v>43973</v>
      </c>
      <c r="J353" t="str">
        <f t="shared" si="20"/>
        <v>Gen X</v>
      </c>
      <c r="K353" t="str" cm="1">
        <f t="array" ref="K353">_xlfn.IFS(G353&lt;=50000,"Low",G353&lt;=100000,"Medium",G353&lt;=150000,"High",G353&gt;=150001,"Premium")</f>
        <v>High</v>
      </c>
      <c r="L353" s="3">
        <f t="shared" ca="1" si="21"/>
        <v>5</v>
      </c>
      <c r="M353" t="str">
        <f t="shared" ca="1" si="22"/>
        <v>5yrs +</v>
      </c>
      <c r="N353" s="3">
        <f t="shared" ca="1" si="23"/>
        <v>227</v>
      </c>
    </row>
    <row r="354" spans="1:14" x14ac:dyDescent="0.35">
      <c r="A354" t="s">
        <v>729</v>
      </c>
      <c r="B354" t="s">
        <v>730</v>
      </c>
      <c r="C354" t="s">
        <v>11</v>
      </c>
      <c r="D354">
        <v>20</v>
      </c>
      <c r="E354" t="s">
        <v>12</v>
      </c>
      <c r="F354" t="s">
        <v>13</v>
      </c>
      <c r="G354" s="2">
        <v>22356</v>
      </c>
      <c r="H354" t="s">
        <v>14</v>
      </c>
      <c r="I354" s="1">
        <v>43727</v>
      </c>
      <c r="J354" t="str">
        <f t="shared" si="20"/>
        <v>Gen Z</v>
      </c>
      <c r="K354" t="str" cm="1">
        <f t="array" ref="K354">_xlfn.IFS(G354&lt;=50000,"Low",G354&lt;=100000,"Medium",G354&lt;=150000,"High",G354&gt;=150001,"Premium")</f>
        <v>Low</v>
      </c>
      <c r="L354" s="3">
        <f t="shared" ca="1" si="21"/>
        <v>6</v>
      </c>
      <c r="M354" t="str">
        <f t="shared" ca="1" si="22"/>
        <v>5yrs +</v>
      </c>
      <c r="N354" s="3">
        <f t="shared" ca="1" si="23"/>
        <v>169</v>
      </c>
    </row>
    <row r="355" spans="1:14" x14ac:dyDescent="0.35">
      <c r="A355" t="s">
        <v>731</v>
      </c>
      <c r="B355" t="s">
        <v>732</v>
      </c>
      <c r="C355" t="s">
        <v>17</v>
      </c>
      <c r="D355">
        <v>62</v>
      </c>
      <c r="E355" t="s">
        <v>34</v>
      </c>
      <c r="F355" t="s">
        <v>13</v>
      </c>
      <c r="G355" s="2">
        <v>90326</v>
      </c>
      <c r="H355" t="s">
        <v>20</v>
      </c>
      <c r="I355" s="1">
        <v>43758</v>
      </c>
      <c r="J355" t="str">
        <f t="shared" si="20"/>
        <v>Boomers</v>
      </c>
      <c r="K355" t="str" cm="1">
        <f t="array" ref="K355">_xlfn.IFS(G355&lt;=50000,"Low",G355&lt;=100000,"Medium",G355&lt;=150000,"High",G355&gt;=150001,"Premium")</f>
        <v>Medium</v>
      </c>
      <c r="L355" s="3">
        <f t="shared" ca="1" si="21"/>
        <v>6</v>
      </c>
      <c r="M355" t="str">
        <f t="shared" ca="1" si="22"/>
        <v>5yrs +</v>
      </c>
      <c r="N355" s="3">
        <f t="shared" ca="1" si="23"/>
        <v>169</v>
      </c>
    </row>
    <row r="356" spans="1:14" x14ac:dyDescent="0.35">
      <c r="A356" t="s">
        <v>733</v>
      </c>
      <c r="B356" t="s">
        <v>734</v>
      </c>
      <c r="C356" t="s">
        <v>17</v>
      </c>
      <c r="D356">
        <v>30</v>
      </c>
      <c r="E356" t="s">
        <v>30</v>
      </c>
      <c r="F356" t="s">
        <v>23</v>
      </c>
      <c r="G356" s="2">
        <v>112447</v>
      </c>
      <c r="H356" t="s">
        <v>14</v>
      </c>
      <c r="I356" s="1">
        <v>43847</v>
      </c>
      <c r="J356" t="str">
        <f t="shared" si="20"/>
        <v>Millennials</v>
      </c>
      <c r="K356" t="str" cm="1">
        <f t="array" ref="K356">_xlfn.IFS(G356&lt;=50000,"Low",G356&lt;=100000,"Medium",G356&lt;=150000,"High",G356&gt;=150001,"Premium")</f>
        <v>High</v>
      </c>
      <c r="L356" s="3">
        <f t="shared" ca="1" si="21"/>
        <v>5</v>
      </c>
      <c r="M356" t="str">
        <f t="shared" ca="1" si="22"/>
        <v>5yrs +</v>
      </c>
      <c r="N356" s="3">
        <f t="shared" ca="1" si="23"/>
        <v>227</v>
      </c>
    </row>
    <row r="357" spans="1:14" x14ac:dyDescent="0.35">
      <c r="A357" t="s">
        <v>735</v>
      </c>
      <c r="B357" t="s">
        <v>736</v>
      </c>
      <c r="C357" t="s">
        <v>11</v>
      </c>
      <c r="D357">
        <v>67</v>
      </c>
      <c r="E357" t="s">
        <v>30</v>
      </c>
      <c r="F357" t="s">
        <v>27</v>
      </c>
      <c r="G357" s="2">
        <v>134994</v>
      </c>
      <c r="H357" t="s">
        <v>20</v>
      </c>
      <c r="I357" s="1">
        <v>43374</v>
      </c>
      <c r="J357" t="str">
        <f t="shared" si="20"/>
        <v>Boomers</v>
      </c>
      <c r="K357" t="str" cm="1">
        <f t="array" ref="K357">_xlfn.IFS(G357&lt;=50000,"Low",G357&lt;=100000,"Medium",G357&lt;=150000,"High",G357&gt;=150001,"Premium")</f>
        <v>High</v>
      </c>
      <c r="L357" s="3">
        <f t="shared" ca="1" si="21"/>
        <v>7</v>
      </c>
      <c r="M357" t="str">
        <f t="shared" ca="1" si="22"/>
        <v>5yrs +</v>
      </c>
      <c r="N357" s="3">
        <f t="shared" ca="1" si="23"/>
        <v>118</v>
      </c>
    </row>
    <row r="358" spans="1:14" x14ac:dyDescent="0.35">
      <c r="A358" t="s">
        <v>737</v>
      </c>
      <c r="B358" t="s">
        <v>738</v>
      </c>
      <c r="C358" t="s">
        <v>17</v>
      </c>
      <c r="D358">
        <v>45</v>
      </c>
      <c r="E358" t="s">
        <v>34</v>
      </c>
      <c r="F358" t="s">
        <v>19</v>
      </c>
      <c r="G358" s="2">
        <v>40049</v>
      </c>
      <c r="H358" t="s">
        <v>14</v>
      </c>
      <c r="I358" s="1">
        <v>44190</v>
      </c>
      <c r="J358" t="str">
        <f t="shared" si="20"/>
        <v>Gen X</v>
      </c>
      <c r="K358" t="str" cm="1">
        <f t="array" ref="K358">_xlfn.IFS(G358&lt;=50000,"Low",G358&lt;=100000,"Medium",G358&lt;=150000,"High",G358&gt;=150001,"Premium")</f>
        <v>Low</v>
      </c>
      <c r="L358" s="3">
        <f t="shared" ca="1" si="21"/>
        <v>4</v>
      </c>
      <c r="M358" t="str">
        <f t="shared" ca="1" si="22"/>
        <v>3-5yrs</v>
      </c>
      <c r="N358" s="3">
        <f t="shared" ca="1" si="23"/>
        <v>273</v>
      </c>
    </row>
    <row r="359" spans="1:14" x14ac:dyDescent="0.35">
      <c r="A359" t="s">
        <v>739</v>
      </c>
      <c r="B359" t="s">
        <v>740</v>
      </c>
      <c r="C359" t="s">
        <v>17</v>
      </c>
      <c r="D359">
        <v>37</v>
      </c>
      <c r="E359" t="s">
        <v>34</v>
      </c>
      <c r="F359" t="s">
        <v>19</v>
      </c>
      <c r="G359" s="2">
        <v>125361</v>
      </c>
      <c r="H359" t="s">
        <v>14</v>
      </c>
      <c r="I359" s="1">
        <v>44342</v>
      </c>
      <c r="J359" t="str">
        <f t="shared" si="20"/>
        <v>Millennials</v>
      </c>
      <c r="K359" t="str" cm="1">
        <f t="array" ref="K359">_xlfn.IFS(G359&lt;=50000,"Low",G359&lt;=100000,"Medium",G359&lt;=150000,"High",G359&gt;=150001,"Premium")</f>
        <v>High</v>
      </c>
      <c r="L359" s="3">
        <f t="shared" ca="1" si="21"/>
        <v>4</v>
      </c>
      <c r="M359" t="str">
        <f t="shared" ca="1" si="22"/>
        <v>3-5yrs</v>
      </c>
      <c r="N359" s="3">
        <f t="shared" ca="1" si="23"/>
        <v>273</v>
      </c>
    </row>
    <row r="360" spans="1:14" x14ac:dyDescent="0.35">
      <c r="A360" t="s">
        <v>741</v>
      </c>
      <c r="B360" t="s">
        <v>742</v>
      </c>
      <c r="C360" t="s">
        <v>11</v>
      </c>
      <c r="D360">
        <v>45</v>
      </c>
      <c r="E360" t="s">
        <v>12</v>
      </c>
      <c r="F360" t="s">
        <v>13</v>
      </c>
      <c r="G360" s="2">
        <v>36082</v>
      </c>
      <c r="H360" t="s">
        <v>20</v>
      </c>
      <c r="I360" s="1">
        <v>44954</v>
      </c>
      <c r="J360" t="str">
        <f t="shared" si="20"/>
        <v>Gen X</v>
      </c>
      <c r="K360" t="str" cm="1">
        <f t="array" ref="K360">_xlfn.IFS(G360&lt;=50000,"Low",G360&lt;=100000,"Medium",G360&lt;=150000,"High",G360&gt;=150001,"Premium")</f>
        <v>Low</v>
      </c>
      <c r="L360" s="3">
        <f t="shared" ca="1" si="21"/>
        <v>2</v>
      </c>
      <c r="M360" t="str">
        <f t="shared" ca="1" si="22"/>
        <v>1-3yrs</v>
      </c>
      <c r="N360" s="3">
        <f t="shared" ca="1" si="23"/>
        <v>367</v>
      </c>
    </row>
    <row r="361" spans="1:14" x14ac:dyDescent="0.35">
      <c r="A361" t="s">
        <v>743</v>
      </c>
      <c r="B361" t="s">
        <v>744</v>
      </c>
      <c r="C361" t="s">
        <v>11</v>
      </c>
      <c r="D361">
        <v>25</v>
      </c>
      <c r="E361" t="s">
        <v>30</v>
      </c>
      <c r="F361" t="s">
        <v>31</v>
      </c>
      <c r="G361" s="2">
        <v>20661</v>
      </c>
      <c r="H361" t="s">
        <v>14</v>
      </c>
      <c r="I361" s="1">
        <v>44819</v>
      </c>
      <c r="J361" t="str">
        <f t="shared" si="20"/>
        <v>Gen Z</v>
      </c>
      <c r="K361" t="str" cm="1">
        <f t="array" ref="K361">_xlfn.IFS(G361&lt;=50000,"Low",G361&lt;=100000,"Medium",G361&lt;=150000,"High",G361&gt;=150001,"Premium")</f>
        <v>Low</v>
      </c>
      <c r="L361" s="3">
        <f t="shared" ca="1" si="21"/>
        <v>3</v>
      </c>
      <c r="M361" t="str">
        <f t="shared" ca="1" si="22"/>
        <v>3-5yrs</v>
      </c>
      <c r="N361" s="3">
        <f t="shared" ca="1" si="23"/>
        <v>319</v>
      </c>
    </row>
    <row r="362" spans="1:14" x14ac:dyDescent="0.35">
      <c r="A362" t="s">
        <v>745</v>
      </c>
      <c r="B362" t="s">
        <v>746</v>
      </c>
      <c r="C362" t="s">
        <v>17</v>
      </c>
      <c r="D362">
        <v>58</v>
      </c>
      <c r="E362" t="s">
        <v>18</v>
      </c>
      <c r="F362" t="s">
        <v>31</v>
      </c>
      <c r="G362" s="2">
        <v>188484</v>
      </c>
      <c r="H362" t="s">
        <v>14</v>
      </c>
      <c r="I362" s="1">
        <v>45392</v>
      </c>
      <c r="J362" t="str">
        <f t="shared" si="20"/>
        <v>Gen X</v>
      </c>
      <c r="K362" t="str" cm="1">
        <f t="array" ref="K362">_xlfn.IFS(G362&lt;=50000,"Low",G362&lt;=100000,"Medium",G362&lt;=150000,"High",G362&gt;=150001,"Premium")</f>
        <v>Premium</v>
      </c>
      <c r="L362" s="3">
        <f t="shared" ca="1" si="21"/>
        <v>1</v>
      </c>
      <c r="M362" t="str">
        <f t="shared" ca="1" si="22"/>
        <v>1-3yrs</v>
      </c>
      <c r="N362" s="3">
        <f t="shared" ca="1" si="23"/>
        <v>422</v>
      </c>
    </row>
    <row r="363" spans="1:14" x14ac:dyDescent="0.35">
      <c r="A363" t="s">
        <v>747</v>
      </c>
      <c r="B363" t="s">
        <v>748</v>
      </c>
      <c r="C363" t="s">
        <v>11</v>
      </c>
      <c r="D363">
        <v>56</v>
      </c>
      <c r="E363" t="s">
        <v>12</v>
      </c>
      <c r="F363" t="s">
        <v>23</v>
      </c>
      <c r="G363" s="2">
        <v>22920</v>
      </c>
      <c r="H363" t="s">
        <v>14</v>
      </c>
      <c r="I363" s="1">
        <v>42295</v>
      </c>
      <c r="J363" t="str">
        <f t="shared" si="20"/>
        <v>Gen X</v>
      </c>
      <c r="K363" t="str" cm="1">
        <f t="array" ref="K363">_xlfn.IFS(G363&lt;=50000,"Low",G363&lt;=100000,"Medium",G363&lt;=150000,"High",G363&gt;=150001,"Premium")</f>
        <v>Low</v>
      </c>
      <c r="L363" s="3">
        <f t="shared" ca="1" si="21"/>
        <v>10</v>
      </c>
      <c r="M363" t="str">
        <f t="shared" ca="1" si="22"/>
        <v>5yrs +</v>
      </c>
      <c r="N363" s="3">
        <f t="shared" ca="1" si="23"/>
        <v>1</v>
      </c>
    </row>
    <row r="364" spans="1:14" x14ac:dyDescent="0.35">
      <c r="A364" t="s">
        <v>749</v>
      </c>
      <c r="B364" t="s">
        <v>750</v>
      </c>
      <c r="C364" t="s">
        <v>11</v>
      </c>
      <c r="D364">
        <v>18</v>
      </c>
      <c r="E364" t="s">
        <v>34</v>
      </c>
      <c r="F364" t="s">
        <v>19</v>
      </c>
      <c r="G364" s="2">
        <v>99561</v>
      </c>
      <c r="H364" t="s">
        <v>24</v>
      </c>
      <c r="I364" s="1">
        <v>42581</v>
      </c>
      <c r="J364" t="str">
        <f t="shared" si="20"/>
        <v>Gen Z</v>
      </c>
      <c r="K364" t="str" cm="1">
        <f t="array" ref="K364">_xlfn.IFS(G364&lt;=50000,"Low",G364&lt;=100000,"Medium",G364&lt;=150000,"High",G364&gt;=150001,"Premium")</f>
        <v>Medium</v>
      </c>
      <c r="L364" s="3">
        <f t="shared" ca="1" si="21"/>
        <v>9</v>
      </c>
      <c r="M364" t="str">
        <f t="shared" ca="1" si="22"/>
        <v>5yrs +</v>
      </c>
      <c r="N364" s="3">
        <f t="shared" ca="1" si="23"/>
        <v>17</v>
      </c>
    </row>
    <row r="365" spans="1:14" x14ac:dyDescent="0.35">
      <c r="A365" t="s">
        <v>751</v>
      </c>
      <c r="B365" t="s">
        <v>752</v>
      </c>
      <c r="C365" t="s">
        <v>17</v>
      </c>
      <c r="D365">
        <v>20</v>
      </c>
      <c r="E365" t="s">
        <v>30</v>
      </c>
      <c r="F365" t="s">
        <v>13</v>
      </c>
      <c r="G365" s="2">
        <v>28946</v>
      </c>
      <c r="H365" t="s">
        <v>20</v>
      </c>
      <c r="I365" s="1">
        <v>42442</v>
      </c>
      <c r="J365" t="str">
        <f t="shared" si="20"/>
        <v>Gen Z</v>
      </c>
      <c r="K365" t="str" cm="1">
        <f t="array" ref="K365">_xlfn.IFS(G365&lt;=50000,"Low",G365&lt;=100000,"Medium",G365&lt;=150000,"High",G365&gt;=150001,"Premium")</f>
        <v>Low</v>
      </c>
      <c r="L365" s="3">
        <f t="shared" ca="1" si="21"/>
        <v>9</v>
      </c>
      <c r="M365" t="str">
        <f t="shared" ca="1" si="22"/>
        <v>5yrs +</v>
      </c>
      <c r="N365" s="3">
        <f t="shared" ca="1" si="23"/>
        <v>17</v>
      </c>
    </row>
    <row r="366" spans="1:14" x14ac:dyDescent="0.35">
      <c r="A366" t="s">
        <v>753</v>
      </c>
      <c r="B366" t="s">
        <v>754</v>
      </c>
      <c r="C366" t="s">
        <v>11</v>
      </c>
      <c r="D366">
        <v>30</v>
      </c>
      <c r="E366" t="s">
        <v>18</v>
      </c>
      <c r="F366" t="s">
        <v>27</v>
      </c>
      <c r="G366" s="2">
        <v>196572</v>
      </c>
      <c r="H366" t="s">
        <v>14</v>
      </c>
      <c r="I366" s="1">
        <v>45607</v>
      </c>
      <c r="J366" t="str">
        <f t="shared" si="20"/>
        <v>Millennials</v>
      </c>
      <c r="K366" t="str" cm="1">
        <f t="array" ref="K366">_xlfn.IFS(G366&lt;=50000,"Low",G366&lt;=100000,"Medium",G366&lt;=150000,"High",G366&gt;=150001,"Premium")</f>
        <v>Premium</v>
      </c>
      <c r="L366" s="3">
        <f t="shared" ca="1" si="21"/>
        <v>1</v>
      </c>
      <c r="M366" t="str">
        <f t="shared" ca="1" si="22"/>
        <v>1-3yrs</v>
      </c>
      <c r="N366" s="3">
        <f t="shared" ca="1" si="23"/>
        <v>422</v>
      </c>
    </row>
    <row r="367" spans="1:14" x14ac:dyDescent="0.35">
      <c r="A367" t="s">
        <v>755</v>
      </c>
      <c r="B367" t="s">
        <v>756</v>
      </c>
      <c r="C367" t="s">
        <v>11</v>
      </c>
      <c r="D367">
        <v>45</v>
      </c>
      <c r="E367" t="s">
        <v>18</v>
      </c>
      <c r="F367" t="s">
        <v>19</v>
      </c>
      <c r="G367" s="2">
        <v>36309</v>
      </c>
      <c r="H367" t="s">
        <v>14</v>
      </c>
      <c r="I367" s="1">
        <v>43773</v>
      </c>
      <c r="J367" t="str">
        <f t="shared" si="20"/>
        <v>Gen X</v>
      </c>
      <c r="K367" t="str" cm="1">
        <f t="array" ref="K367">_xlfn.IFS(G367&lt;=50000,"Low",G367&lt;=100000,"Medium",G367&lt;=150000,"High",G367&gt;=150001,"Premium")</f>
        <v>Low</v>
      </c>
      <c r="L367" s="3">
        <f t="shared" ca="1" si="21"/>
        <v>6</v>
      </c>
      <c r="M367" t="str">
        <f t="shared" ca="1" si="22"/>
        <v>5yrs +</v>
      </c>
      <c r="N367" s="3">
        <f t="shared" ca="1" si="23"/>
        <v>169</v>
      </c>
    </row>
    <row r="368" spans="1:14" x14ac:dyDescent="0.35">
      <c r="A368" t="s">
        <v>757</v>
      </c>
      <c r="B368" t="s">
        <v>758</v>
      </c>
      <c r="C368" t="s">
        <v>17</v>
      </c>
      <c r="D368">
        <v>74</v>
      </c>
      <c r="E368" t="s">
        <v>12</v>
      </c>
      <c r="F368" t="s">
        <v>13</v>
      </c>
      <c r="G368" s="2">
        <v>75230</v>
      </c>
      <c r="H368" t="s">
        <v>14</v>
      </c>
      <c r="I368" s="1">
        <v>43795</v>
      </c>
      <c r="J368" t="str">
        <f t="shared" si="20"/>
        <v>Boomers</v>
      </c>
      <c r="K368" t="str" cm="1">
        <f t="array" ref="K368">_xlfn.IFS(G368&lt;=50000,"Low",G368&lt;=100000,"Medium",G368&lt;=150000,"High",G368&gt;=150001,"Premium")</f>
        <v>Medium</v>
      </c>
      <c r="L368" s="3">
        <f t="shared" ca="1" si="21"/>
        <v>6</v>
      </c>
      <c r="M368" t="str">
        <f t="shared" ca="1" si="22"/>
        <v>5yrs +</v>
      </c>
      <c r="N368" s="3">
        <f t="shared" ca="1" si="23"/>
        <v>169</v>
      </c>
    </row>
    <row r="369" spans="1:14" x14ac:dyDescent="0.35">
      <c r="A369" t="s">
        <v>759</v>
      </c>
      <c r="B369" t="s">
        <v>760</v>
      </c>
      <c r="C369" t="s">
        <v>17</v>
      </c>
      <c r="D369">
        <v>66</v>
      </c>
      <c r="E369" t="s">
        <v>30</v>
      </c>
      <c r="F369" t="s">
        <v>13</v>
      </c>
      <c r="G369" s="2">
        <v>131822</v>
      </c>
      <c r="H369" t="s">
        <v>20</v>
      </c>
      <c r="I369" s="1">
        <v>43811</v>
      </c>
      <c r="J369" t="str">
        <f t="shared" si="20"/>
        <v>Boomers</v>
      </c>
      <c r="K369" t="str" cm="1">
        <f t="array" ref="K369">_xlfn.IFS(G369&lt;=50000,"Low",G369&lt;=100000,"Medium",G369&lt;=150000,"High",G369&gt;=150001,"Premium")</f>
        <v>High</v>
      </c>
      <c r="L369" s="3">
        <f t="shared" ca="1" si="21"/>
        <v>5</v>
      </c>
      <c r="M369" t="str">
        <f t="shared" ca="1" si="22"/>
        <v>5yrs +</v>
      </c>
      <c r="N369" s="3">
        <f t="shared" ca="1" si="23"/>
        <v>227</v>
      </c>
    </row>
    <row r="370" spans="1:14" x14ac:dyDescent="0.35">
      <c r="A370" t="s">
        <v>761</v>
      </c>
      <c r="B370" t="s">
        <v>762</v>
      </c>
      <c r="C370" t="s">
        <v>11</v>
      </c>
      <c r="D370">
        <v>42</v>
      </c>
      <c r="E370" t="s">
        <v>30</v>
      </c>
      <c r="F370" t="s">
        <v>37</v>
      </c>
      <c r="G370" s="2">
        <v>181099</v>
      </c>
      <c r="H370" t="s">
        <v>20</v>
      </c>
      <c r="I370" s="1">
        <v>44954</v>
      </c>
      <c r="J370" t="str">
        <f t="shared" si="20"/>
        <v>Millennials</v>
      </c>
      <c r="K370" t="str" cm="1">
        <f t="array" ref="K370">_xlfn.IFS(G370&lt;=50000,"Low",G370&lt;=100000,"Medium",G370&lt;=150000,"High",G370&gt;=150001,"Premium")</f>
        <v>Premium</v>
      </c>
      <c r="L370" s="3">
        <f t="shared" ca="1" si="21"/>
        <v>2</v>
      </c>
      <c r="M370" t="str">
        <f t="shared" ca="1" si="22"/>
        <v>1-3yrs</v>
      </c>
      <c r="N370" s="3">
        <f t="shared" ca="1" si="23"/>
        <v>367</v>
      </c>
    </row>
    <row r="371" spans="1:14" x14ac:dyDescent="0.35">
      <c r="A371" t="s">
        <v>763</v>
      </c>
      <c r="B371" t="s">
        <v>764</v>
      </c>
      <c r="C371" t="s">
        <v>11</v>
      </c>
      <c r="D371">
        <v>73</v>
      </c>
      <c r="E371" t="s">
        <v>34</v>
      </c>
      <c r="F371" t="s">
        <v>27</v>
      </c>
      <c r="G371" s="2">
        <v>132340</v>
      </c>
      <c r="H371" t="s">
        <v>14</v>
      </c>
      <c r="I371" s="1">
        <v>42545</v>
      </c>
      <c r="J371" t="str">
        <f t="shared" si="20"/>
        <v>Boomers</v>
      </c>
      <c r="K371" t="str" cm="1">
        <f t="array" ref="K371">_xlfn.IFS(G371&lt;=50000,"Low",G371&lt;=100000,"Medium",G371&lt;=150000,"High",G371&gt;=150001,"Premium")</f>
        <v>High</v>
      </c>
      <c r="L371" s="3">
        <f t="shared" ca="1" si="21"/>
        <v>9</v>
      </c>
      <c r="M371" t="str">
        <f t="shared" ca="1" si="22"/>
        <v>5yrs +</v>
      </c>
      <c r="N371" s="3">
        <f t="shared" ca="1" si="23"/>
        <v>17</v>
      </c>
    </row>
    <row r="372" spans="1:14" x14ac:dyDescent="0.35">
      <c r="A372" t="s">
        <v>765</v>
      </c>
      <c r="B372" t="s">
        <v>766</v>
      </c>
      <c r="C372" t="s">
        <v>17</v>
      </c>
      <c r="D372">
        <v>50</v>
      </c>
      <c r="E372" t="s">
        <v>30</v>
      </c>
      <c r="F372" t="s">
        <v>37</v>
      </c>
      <c r="G372" s="2">
        <v>79321</v>
      </c>
      <c r="H372" t="s">
        <v>14</v>
      </c>
      <c r="I372" s="1">
        <v>43047</v>
      </c>
      <c r="J372" t="str">
        <f t="shared" si="20"/>
        <v>Gen X</v>
      </c>
      <c r="K372" t="str" cm="1">
        <f t="array" ref="K372">_xlfn.IFS(G372&lt;=50000,"Low",G372&lt;=100000,"Medium",G372&lt;=150000,"High",G372&gt;=150001,"Premium")</f>
        <v>Medium</v>
      </c>
      <c r="L372" s="3">
        <f t="shared" ca="1" si="21"/>
        <v>8</v>
      </c>
      <c r="M372" t="str">
        <f t="shared" ca="1" si="22"/>
        <v>5yrs +</v>
      </c>
      <c r="N372" s="3">
        <f t="shared" ca="1" si="23"/>
        <v>59</v>
      </c>
    </row>
    <row r="373" spans="1:14" x14ac:dyDescent="0.35">
      <c r="A373" t="s">
        <v>767</v>
      </c>
      <c r="B373" t="s">
        <v>768</v>
      </c>
      <c r="C373" t="s">
        <v>17</v>
      </c>
      <c r="D373">
        <v>55</v>
      </c>
      <c r="E373" t="s">
        <v>30</v>
      </c>
      <c r="F373" t="s">
        <v>23</v>
      </c>
      <c r="G373" s="2">
        <v>152028</v>
      </c>
      <c r="H373" t="s">
        <v>14</v>
      </c>
      <c r="I373" s="1">
        <v>44745</v>
      </c>
      <c r="J373" t="str">
        <f t="shared" si="20"/>
        <v>Gen X</v>
      </c>
      <c r="K373" t="str" cm="1">
        <f t="array" ref="K373">_xlfn.IFS(G373&lt;=50000,"Low",G373&lt;=100000,"Medium",G373&lt;=150000,"High",G373&gt;=150001,"Premium")</f>
        <v>Premium</v>
      </c>
      <c r="L373" s="3">
        <f t="shared" ca="1" si="21"/>
        <v>3</v>
      </c>
      <c r="M373" t="str">
        <f t="shared" ca="1" si="22"/>
        <v>3-5yrs</v>
      </c>
      <c r="N373" s="3">
        <f t="shared" ca="1" si="23"/>
        <v>319</v>
      </c>
    </row>
    <row r="374" spans="1:14" x14ac:dyDescent="0.35">
      <c r="A374" t="s">
        <v>769</v>
      </c>
      <c r="B374" t="s">
        <v>770</v>
      </c>
      <c r="C374" t="s">
        <v>17</v>
      </c>
      <c r="D374">
        <v>70</v>
      </c>
      <c r="E374" t="s">
        <v>12</v>
      </c>
      <c r="F374" t="s">
        <v>37</v>
      </c>
      <c r="G374" s="2">
        <v>94131</v>
      </c>
      <c r="H374" t="s">
        <v>20</v>
      </c>
      <c r="I374" s="1">
        <v>45501</v>
      </c>
      <c r="J374" t="str">
        <f t="shared" si="20"/>
        <v>Boomers</v>
      </c>
      <c r="K374" t="str" cm="1">
        <f t="array" ref="K374">_xlfn.IFS(G374&lt;=50000,"Low",G374&lt;=100000,"Medium",G374&lt;=150000,"High",G374&gt;=150001,"Premium")</f>
        <v>Medium</v>
      </c>
      <c r="L374" s="3">
        <f t="shared" ca="1" si="21"/>
        <v>1</v>
      </c>
      <c r="M374" t="str">
        <f t="shared" ca="1" si="22"/>
        <v>1-3yrs</v>
      </c>
      <c r="N374" s="3">
        <f t="shared" ca="1" si="23"/>
        <v>422</v>
      </c>
    </row>
    <row r="375" spans="1:14" x14ac:dyDescent="0.35">
      <c r="A375" t="s">
        <v>771</v>
      </c>
      <c r="B375" t="s">
        <v>772</v>
      </c>
      <c r="C375" t="s">
        <v>17</v>
      </c>
      <c r="D375">
        <v>23</v>
      </c>
      <c r="E375" t="s">
        <v>30</v>
      </c>
      <c r="F375" t="s">
        <v>42</v>
      </c>
      <c r="G375" s="2">
        <v>198980</v>
      </c>
      <c r="H375" t="s">
        <v>20</v>
      </c>
      <c r="I375" s="1">
        <v>43750</v>
      </c>
      <c r="J375" t="str">
        <f t="shared" si="20"/>
        <v>Gen Z</v>
      </c>
      <c r="K375" t="str" cm="1">
        <f t="array" ref="K375">_xlfn.IFS(G375&lt;=50000,"Low",G375&lt;=100000,"Medium",G375&lt;=150000,"High",G375&gt;=150001,"Premium")</f>
        <v>Premium</v>
      </c>
      <c r="L375" s="3">
        <f t="shared" ca="1" si="21"/>
        <v>6</v>
      </c>
      <c r="M375" t="str">
        <f t="shared" ca="1" si="22"/>
        <v>5yrs +</v>
      </c>
      <c r="N375" s="3">
        <f t="shared" ca="1" si="23"/>
        <v>169</v>
      </c>
    </row>
    <row r="376" spans="1:14" x14ac:dyDescent="0.35">
      <c r="A376" t="s">
        <v>773</v>
      </c>
      <c r="B376" t="s">
        <v>774</v>
      </c>
      <c r="C376" t="s">
        <v>11</v>
      </c>
      <c r="D376">
        <v>61</v>
      </c>
      <c r="E376" t="s">
        <v>18</v>
      </c>
      <c r="F376" t="s">
        <v>37</v>
      </c>
      <c r="G376" s="2">
        <v>45963</v>
      </c>
      <c r="H376" t="s">
        <v>14</v>
      </c>
      <c r="I376" s="1">
        <v>44798</v>
      </c>
      <c r="J376" t="str">
        <f t="shared" si="20"/>
        <v>Boomers</v>
      </c>
      <c r="K376" t="str" cm="1">
        <f t="array" ref="K376">_xlfn.IFS(G376&lt;=50000,"Low",G376&lt;=100000,"Medium",G376&lt;=150000,"High",G376&gt;=150001,"Premium")</f>
        <v>Low</v>
      </c>
      <c r="L376" s="3">
        <f t="shared" ca="1" si="21"/>
        <v>3</v>
      </c>
      <c r="M376" t="str">
        <f t="shared" ca="1" si="22"/>
        <v>3-5yrs</v>
      </c>
      <c r="N376" s="3">
        <f t="shared" ca="1" si="23"/>
        <v>319</v>
      </c>
    </row>
    <row r="377" spans="1:14" x14ac:dyDescent="0.35">
      <c r="A377" t="s">
        <v>775</v>
      </c>
      <c r="B377" t="s">
        <v>776</v>
      </c>
      <c r="C377" t="s">
        <v>17</v>
      </c>
      <c r="D377">
        <v>62</v>
      </c>
      <c r="E377" t="s">
        <v>12</v>
      </c>
      <c r="F377" t="s">
        <v>42</v>
      </c>
      <c r="G377" s="2">
        <v>121757</v>
      </c>
      <c r="H377" t="s">
        <v>14</v>
      </c>
      <c r="I377" s="1">
        <v>42284</v>
      </c>
      <c r="J377" t="str">
        <f t="shared" si="20"/>
        <v>Boomers</v>
      </c>
      <c r="K377" t="str" cm="1">
        <f t="array" ref="K377">_xlfn.IFS(G377&lt;=50000,"Low",G377&lt;=100000,"Medium",G377&lt;=150000,"High",G377&gt;=150001,"Premium")</f>
        <v>High</v>
      </c>
      <c r="L377" s="3">
        <f t="shared" ca="1" si="21"/>
        <v>10</v>
      </c>
      <c r="M377" t="str">
        <f t="shared" ca="1" si="22"/>
        <v>5yrs +</v>
      </c>
      <c r="N377" s="3">
        <f t="shared" ca="1" si="23"/>
        <v>1</v>
      </c>
    </row>
    <row r="378" spans="1:14" x14ac:dyDescent="0.35">
      <c r="A378" t="s">
        <v>777</v>
      </c>
      <c r="B378" t="s">
        <v>778</v>
      </c>
      <c r="C378" t="s">
        <v>17</v>
      </c>
      <c r="D378">
        <v>49</v>
      </c>
      <c r="E378" t="s">
        <v>12</v>
      </c>
      <c r="F378" t="s">
        <v>19</v>
      </c>
      <c r="G378" s="2">
        <v>190515</v>
      </c>
      <c r="H378" t="s">
        <v>14</v>
      </c>
      <c r="I378" s="1">
        <v>44918</v>
      </c>
      <c r="J378" t="str">
        <f t="shared" si="20"/>
        <v>Gen X</v>
      </c>
      <c r="K378" t="str" cm="1">
        <f t="array" ref="K378">_xlfn.IFS(G378&lt;=50000,"Low",G378&lt;=100000,"Medium",G378&lt;=150000,"High",G378&gt;=150001,"Premium")</f>
        <v>Premium</v>
      </c>
      <c r="L378" s="3">
        <f t="shared" ca="1" si="21"/>
        <v>2</v>
      </c>
      <c r="M378" t="str">
        <f t="shared" ca="1" si="22"/>
        <v>1-3yrs</v>
      </c>
      <c r="N378" s="3">
        <f t="shared" ca="1" si="23"/>
        <v>367</v>
      </c>
    </row>
    <row r="379" spans="1:14" x14ac:dyDescent="0.35">
      <c r="A379" t="s">
        <v>779</v>
      </c>
      <c r="B379" t="s">
        <v>780</v>
      </c>
      <c r="C379" t="s">
        <v>11</v>
      </c>
      <c r="D379">
        <v>62</v>
      </c>
      <c r="E379" t="s">
        <v>34</v>
      </c>
      <c r="F379" t="s">
        <v>31</v>
      </c>
      <c r="G379" s="2">
        <v>119259</v>
      </c>
      <c r="H379" t="s">
        <v>24</v>
      </c>
      <c r="I379" s="1">
        <v>42731</v>
      </c>
      <c r="J379" t="str">
        <f t="shared" si="20"/>
        <v>Boomers</v>
      </c>
      <c r="K379" t="str" cm="1">
        <f t="array" ref="K379">_xlfn.IFS(G379&lt;=50000,"Low",G379&lt;=100000,"Medium",G379&lt;=150000,"High",G379&gt;=150001,"Premium")</f>
        <v>High</v>
      </c>
      <c r="L379" s="3">
        <f t="shared" ca="1" si="21"/>
        <v>8</v>
      </c>
      <c r="M379" t="str">
        <f t="shared" ca="1" si="22"/>
        <v>5yrs +</v>
      </c>
      <c r="N379" s="3">
        <f t="shared" ca="1" si="23"/>
        <v>59</v>
      </c>
    </row>
    <row r="380" spans="1:14" x14ac:dyDescent="0.35">
      <c r="A380" t="s">
        <v>781</v>
      </c>
      <c r="B380" t="s">
        <v>782</v>
      </c>
      <c r="C380" t="s">
        <v>17</v>
      </c>
      <c r="D380">
        <v>64</v>
      </c>
      <c r="E380" t="s">
        <v>30</v>
      </c>
      <c r="F380" t="s">
        <v>13</v>
      </c>
      <c r="G380" s="2">
        <v>59063</v>
      </c>
      <c r="H380" t="s">
        <v>14</v>
      </c>
      <c r="I380" s="1">
        <v>44972</v>
      </c>
      <c r="J380" t="str">
        <f t="shared" si="20"/>
        <v>Boomers</v>
      </c>
      <c r="K380" t="str" cm="1">
        <f t="array" ref="K380">_xlfn.IFS(G380&lt;=50000,"Low",G380&lt;=100000,"Medium",G380&lt;=150000,"High",G380&gt;=150001,"Premium")</f>
        <v>Medium</v>
      </c>
      <c r="L380" s="3">
        <f t="shared" ca="1" si="21"/>
        <v>2</v>
      </c>
      <c r="M380" t="str">
        <f t="shared" ca="1" si="22"/>
        <v>1-3yrs</v>
      </c>
      <c r="N380" s="3">
        <f t="shared" ca="1" si="23"/>
        <v>367</v>
      </c>
    </row>
    <row r="381" spans="1:14" x14ac:dyDescent="0.35">
      <c r="A381" t="s">
        <v>783</v>
      </c>
      <c r="B381" t="s">
        <v>784</v>
      </c>
      <c r="C381" t="s">
        <v>11</v>
      </c>
      <c r="D381">
        <v>38</v>
      </c>
      <c r="E381" t="s">
        <v>34</v>
      </c>
      <c r="F381" t="s">
        <v>42</v>
      </c>
      <c r="G381" s="2">
        <v>134225</v>
      </c>
      <c r="H381" t="s">
        <v>20</v>
      </c>
      <c r="I381" s="1">
        <v>44538</v>
      </c>
      <c r="J381" t="str">
        <f t="shared" si="20"/>
        <v>Millennials</v>
      </c>
      <c r="K381" t="str" cm="1">
        <f t="array" ref="K381">_xlfn.IFS(G381&lt;=50000,"Low",G381&lt;=100000,"Medium",G381&lt;=150000,"High",G381&gt;=150001,"Premium")</f>
        <v>High</v>
      </c>
      <c r="L381" s="3">
        <f t="shared" ca="1" si="21"/>
        <v>3</v>
      </c>
      <c r="M381" t="str">
        <f t="shared" ca="1" si="22"/>
        <v>3-5yrs</v>
      </c>
      <c r="N381" s="3">
        <f t="shared" ca="1" si="23"/>
        <v>319</v>
      </c>
    </row>
    <row r="382" spans="1:14" x14ac:dyDescent="0.35">
      <c r="A382" t="s">
        <v>785</v>
      </c>
      <c r="B382" t="s">
        <v>786</v>
      </c>
      <c r="C382" t="s">
        <v>17</v>
      </c>
      <c r="D382">
        <v>33</v>
      </c>
      <c r="E382" t="s">
        <v>18</v>
      </c>
      <c r="F382" t="s">
        <v>27</v>
      </c>
      <c r="G382" s="2">
        <v>136400</v>
      </c>
      <c r="H382" t="s">
        <v>20</v>
      </c>
      <c r="I382" s="1">
        <v>43463</v>
      </c>
      <c r="J382" t="str">
        <f t="shared" si="20"/>
        <v>Millennials</v>
      </c>
      <c r="K382" t="str" cm="1">
        <f t="array" ref="K382">_xlfn.IFS(G382&lt;=50000,"Low",G382&lt;=100000,"Medium",G382&lt;=150000,"High",G382&gt;=150001,"Premium")</f>
        <v>High</v>
      </c>
      <c r="L382" s="3">
        <f t="shared" ca="1" si="21"/>
        <v>6</v>
      </c>
      <c r="M382" t="str">
        <f t="shared" ca="1" si="22"/>
        <v>5yrs +</v>
      </c>
      <c r="N382" s="3">
        <f t="shared" ca="1" si="23"/>
        <v>169</v>
      </c>
    </row>
    <row r="383" spans="1:14" x14ac:dyDescent="0.35">
      <c r="A383" t="s">
        <v>787</v>
      </c>
      <c r="B383" t="s">
        <v>788</v>
      </c>
      <c r="C383" t="s">
        <v>17</v>
      </c>
      <c r="D383">
        <v>71</v>
      </c>
      <c r="E383" t="s">
        <v>12</v>
      </c>
      <c r="F383" t="s">
        <v>37</v>
      </c>
      <c r="G383" s="2">
        <v>100818</v>
      </c>
      <c r="H383" t="s">
        <v>14</v>
      </c>
      <c r="I383" s="1">
        <v>43995</v>
      </c>
      <c r="J383" t="str">
        <f t="shared" si="20"/>
        <v>Boomers</v>
      </c>
      <c r="K383" t="str" cm="1">
        <f t="array" ref="K383">_xlfn.IFS(G383&lt;=50000,"Low",G383&lt;=100000,"Medium",G383&lt;=150000,"High",G383&gt;=150001,"Premium")</f>
        <v>High</v>
      </c>
      <c r="L383" s="3">
        <f t="shared" ca="1" si="21"/>
        <v>5</v>
      </c>
      <c r="M383" t="str">
        <f t="shared" ca="1" si="22"/>
        <v>5yrs +</v>
      </c>
      <c r="N383" s="3">
        <f t="shared" ca="1" si="23"/>
        <v>227</v>
      </c>
    </row>
    <row r="384" spans="1:14" x14ac:dyDescent="0.35">
      <c r="A384" t="s">
        <v>789</v>
      </c>
      <c r="B384" t="s">
        <v>790</v>
      </c>
      <c r="C384" t="s">
        <v>17</v>
      </c>
      <c r="D384">
        <v>38</v>
      </c>
      <c r="E384" t="s">
        <v>12</v>
      </c>
      <c r="F384" t="s">
        <v>42</v>
      </c>
      <c r="G384" s="2">
        <v>24703</v>
      </c>
      <c r="H384" t="s">
        <v>14</v>
      </c>
      <c r="I384" s="1">
        <v>44896</v>
      </c>
      <c r="J384" t="str">
        <f t="shared" si="20"/>
        <v>Millennials</v>
      </c>
      <c r="K384" t="str" cm="1">
        <f t="array" ref="K384">_xlfn.IFS(G384&lt;=50000,"Low",G384&lt;=100000,"Medium",G384&lt;=150000,"High",G384&gt;=150001,"Premium")</f>
        <v>Low</v>
      </c>
      <c r="L384" s="3">
        <f t="shared" ca="1" si="21"/>
        <v>2</v>
      </c>
      <c r="M384" t="str">
        <f t="shared" ca="1" si="22"/>
        <v>1-3yrs</v>
      </c>
      <c r="N384" s="3">
        <f t="shared" ca="1" si="23"/>
        <v>367</v>
      </c>
    </row>
    <row r="385" spans="1:14" x14ac:dyDescent="0.35">
      <c r="A385" t="s">
        <v>791</v>
      </c>
      <c r="B385" t="s">
        <v>792</v>
      </c>
      <c r="C385" t="s">
        <v>11</v>
      </c>
      <c r="D385">
        <v>28</v>
      </c>
      <c r="E385" t="s">
        <v>12</v>
      </c>
      <c r="F385" t="s">
        <v>27</v>
      </c>
      <c r="G385" s="2">
        <v>92099</v>
      </c>
      <c r="H385" t="s">
        <v>14</v>
      </c>
      <c r="I385" s="1">
        <v>44410</v>
      </c>
      <c r="J385" t="str">
        <f t="shared" si="20"/>
        <v>Gen Z</v>
      </c>
      <c r="K385" t="str" cm="1">
        <f t="array" ref="K385">_xlfn.IFS(G385&lt;=50000,"Low",G385&lt;=100000,"Medium",G385&lt;=150000,"High",G385&gt;=150001,"Premium")</f>
        <v>Medium</v>
      </c>
      <c r="L385" s="3">
        <f t="shared" ca="1" si="21"/>
        <v>4</v>
      </c>
      <c r="M385" t="str">
        <f t="shared" ca="1" si="22"/>
        <v>3-5yrs</v>
      </c>
      <c r="N385" s="3">
        <f t="shared" ca="1" si="23"/>
        <v>273</v>
      </c>
    </row>
    <row r="386" spans="1:14" x14ac:dyDescent="0.35">
      <c r="A386" t="s">
        <v>793</v>
      </c>
      <c r="B386" t="s">
        <v>794</v>
      </c>
      <c r="C386" t="s">
        <v>11</v>
      </c>
      <c r="D386">
        <v>54</v>
      </c>
      <c r="E386" t="s">
        <v>18</v>
      </c>
      <c r="F386" t="s">
        <v>31</v>
      </c>
      <c r="G386" s="2">
        <v>176921</v>
      </c>
      <c r="H386" t="s">
        <v>20</v>
      </c>
      <c r="I386" s="1">
        <v>44889</v>
      </c>
      <c r="J386" t="str">
        <f t="shared" ref="J386:J449" si="24">IF(D386&lt;=28, "Gen Z",IF(D386&lt;=44,"Millennials",IF(D386&lt;=60, "Gen X","Boomers")))</f>
        <v>Gen X</v>
      </c>
      <c r="K386" t="str" cm="1">
        <f t="array" ref="K386">_xlfn.IFS(G386&lt;=50000,"Low",G386&lt;=100000,"Medium",G386&lt;=150000,"High",G386&gt;=150001,"Premium")</f>
        <v>Premium</v>
      </c>
      <c r="L386" s="3">
        <f t="shared" ref="L386:L449" ca="1" si="25">YEAR(TODAY())-YEAR(I386)-(DATE(YEAR(TODAY()),MONTH(I386),DAY(I386))&gt;TODAY())</f>
        <v>3</v>
      </c>
      <c r="M386" t="str">
        <f t="shared" ref="M386:M449" ca="1" si="26">IF(L386&lt;1,"0-1yr",IF(L386&lt;3,"1-3yrs",IF(L386&lt;5,"3-5yrs","5yrs +")))</f>
        <v>3-5yrs</v>
      </c>
      <c r="N386" s="3">
        <f t="shared" ref="N386:N449" ca="1" si="27">COUNTIFS($L$2:$L$501,"&gt;"&amp;L386)+1</f>
        <v>319</v>
      </c>
    </row>
    <row r="387" spans="1:14" x14ac:dyDescent="0.35">
      <c r="A387" t="s">
        <v>795</v>
      </c>
      <c r="B387" t="s">
        <v>796</v>
      </c>
      <c r="C387" t="s">
        <v>17</v>
      </c>
      <c r="D387">
        <v>53</v>
      </c>
      <c r="E387" t="s">
        <v>18</v>
      </c>
      <c r="F387" t="s">
        <v>31</v>
      </c>
      <c r="G387" s="2">
        <v>182932</v>
      </c>
      <c r="H387" t="s">
        <v>20</v>
      </c>
      <c r="I387" s="1">
        <v>45157</v>
      </c>
      <c r="J387" t="str">
        <f t="shared" si="24"/>
        <v>Gen X</v>
      </c>
      <c r="K387" t="str" cm="1">
        <f t="array" ref="K387">_xlfn.IFS(G387&lt;=50000,"Low",G387&lt;=100000,"Medium",G387&lt;=150000,"High",G387&gt;=150001,"Premium")</f>
        <v>Premium</v>
      </c>
      <c r="L387" s="3">
        <f t="shared" ca="1" si="25"/>
        <v>2</v>
      </c>
      <c r="M387" t="str">
        <f t="shared" ca="1" si="26"/>
        <v>1-3yrs</v>
      </c>
      <c r="N387" s="3">
        <f t="shared" ca="1" si="27"/>
        <v>367</v>
      </c>
    </row>
    <row r="388" spans="1:14" x14ac:dyDescent="0.35">
      <c r="A388" t="s">
        <v>797</v>
      </c>
      <c r="B388" t="s">
        <v>798</v>
      </c>
      <c r="C388" t="s">
        <v>11</v>
      </c>
      <c r="D388">
        <v>52</v>
      </c>
      <c r="E388" t="s">
        <v>34</v>
      </c>
      <c r="F388" t="s">
        <v>37</v>
      </c>
      <c r="G388" s="2">
        <v>51585</v>
      </c>
      <c r="H388" t="s">
        <v>20</v>
      </c>
      <c r="I388" s="1">
        <v>43577</v>
      </c>
      <c r="J388" t="str">
        <f t="shared" si="24"/>
        <v>Gen X</v>
      </c>
      <c r="K388" t="str" cm="1">
        <f t="array" ref="K388">_xlfn.IFS(G388&lt;=50000,"Low",G388&lt;=100000,"Medium",G388&lt;=150000,"High",G388&gt;=150001,"Premium")</f>
        <v>Medium</v>
      </c>
      <c r="L388" s="3">
        <f t="shared" ca="1" si="25"/>
        <v>6</v>
      </c>
      <c r="M388" t="str">
        <f t="shared" ca="1" si="26"/>
        <v>5yrs +</v>
      </c>
      <c r="N388" s="3">
        <f t="shared" ca="1" si="27"/>
        <v>169</v>
      </c>
    </row>
    <row r="389" spans="1:14" x14ac:dyDescent="0.35">
      <c r="A389" t="s">
        <v>799</v>
      </c>
      <c r="B389" t="s">
        <v>800</v>
      </c>
      <c r="C389" t="s">
        <v>11</v>
      </c>
      <c r="D389">
        <v>36</v>
      </c>
      <c r="E389" t="s">
        <v>34</v>
      </c>
      <c r="F389" t="s">
        <v>23</v>
      </c>
      <c r="G389" s="2">
        <v>173087</v>
      </c>
      <c r="H389" t="s">
        <v>14</v>
      </c>
      <c r="I389" s="1">
        <v>43947</v>
      </c>
      <c r="J389" t="str">
        <f t="shared" si="24"/>
        <v>Millennials</v>
      </c>
      <c r="K389" t="str" cm="1">
        <f t="array" ref="K389">_xlfn.IFS(G389&lt;=50000,"Low",G389&lt;=100000,"Medium",G389&lt;=150000,"High",G389&gt;=150001,"Premium")</f>
        <v>Premium</v>
      </c>
      <c r="L389" s="3">
        <f t="shared" ca="1" si="25"/>
        <v>5</v>
      </c>
      <c r="M389" t="str">
        <f t="shared" ca="1" si="26"/>
        <v>5yrs +</v>
      </c>
      <c r="N389" s="3">
        <f t="shared" ca="1" si="27"/>
        <v>227</v>
      </c>
    </row>
    <row r="390" spans="1:14" x14ac:dyDescent="0.35">
      <c r="A390" t="s">
        <v>801</v>
      </c>
      <c r="B390" t="s">
        <v>802</v>
      </c>
      <c r="C390" t="s">
        <v>11</v>
      </c>
      <c r="D390">
        <v>37</v>
      </c>
      <c r="E390" t="s">
        <v>34</v>
      </c>
      <c r="F390" t="s">
        <v>37</v>
      </c>
      <c r="G390" s="2">
        <v>63585</v>
      </c>
      <c r="H390" t="s">
        <v>14</v>
      </c>
      <c r="I390" s="1">
        <v>42757</v>
      </c>
      <c r="J390" t="str">
        <f t="shared" si="24"/>
        <v>Millennials</v>
      </c>
      <c r="K390" t="str" cm="1">
        <f t="array" ref="K390">_xlfn.IFS(G390&lt;=50000,"Low",G390&lt;=100000,"Medium",G390&lt;=150000,"High",G390&gt;=150001,"Premium")</f>
        <v>Medium</v>
      </c>
      <c r="L390" s="3">
        <f t="shared" ca="1" si="25"/>
        <v>8</v>
      </c>
      <c r="M390" t="str">
        <f t="shared" ca="1" si="26"/>
        <v>5yrs +</v>
      </c>
      <c r="N390" s="3">
        <f t="shared" ca="1" si="27"/>
        <v>59</v>
      </c>
    </row>
    <row r="391" spans="1:14" x14ac:dyDescent="0.35">
      <c r="A391" t="s">
        <v>803</v>
      </c>
      <c r="B391" t="s">
        <v>804</v>
      </c>
      <c r="C391" t="s">
        <v>11</v>
      </c>
      <c r="D391">
        <v>74</v>
      </c>
      <c r="E391" t="s">
        <v>30</v>
      </c>
      <c r="F391" t="s">
        <v>19</v>
      </c>
      <c r="G391" s="2">
        <v>46958</v>
      </c>
      <c r="H391" t="s">
        <v>24</v>
      </c>
      <c r="I391" s="1">
        <v>44220</v>
      </c>
      <c r="J391" t="str">
        <f t="shared" si="24"/>
        <v>Boomers</v>
      </c>
      <c r="K391" t="str" cm="1">
        <f t="array" ref="K391">_xlfn.IFS(G391&lt;=50000,"Low",G391&lt;=100000,"Medium",G391&lt;=150000,"High",G391&gt;=150001,"Premium")</f>
        <v>Low</v>
      </c>
      <c r="L391" s="3">
        <f t="shared" ca="1" si="25"/>
        <v>4</v>
      </c>
      <c r="M391" t="str">
        <f t="shared" ca="1" si="26"/>
        <v>3-5yrs</v>
      </c>
      <c r="N391" s="3">
        <f t="shared" ca="1" si="27"/>
        <v>273</v>
      </c>
    </row>
    <row r="392" spans="1:14" x14ac:dyDescent="0.35">
      <c r="A392" t="s">
        <v>805</v>
      </c>
      <c r="B392" t="s">
        <v>806</v>
      </c>
      <c r="C392" t="s">
        <v>11</v>
      </c>
      <c r="D392">
        <v>35</v>
      </c>
      <c r="E392" t="s">
        <v>12</v>
      </c>
      <c r="F392" t="s">
        <v>42</v>
      </c>
      <c r="G392" s="2">
        <v>46017</v>
      </c>
      <c r="H392" t="s">
        <v>20</v>
      </c>
      <c r="I392" s="1">
        <v>42931</v>
      </c>
      <c r="J392" t="str">
        <f t="shared" si="24"/>
        <v>Millennials</v>
      </c>
      <c r="K392" t="str" cm="1">
        <f t="array" ref="K392">_xlfn.IFS(G392&lt;=50000,"Low",G392&lt;=100000,"Medium",G392&lt;=150000,"High",G392&gt;=150001,"Premium")</f>
        <v>Low</v>
      </c>
      <c r="L392" s="3">
        <f t="shared" ca="1" si="25"/>
        <v>8</v>
      </c>
      <c r="M392" t="str">
        <f t="shared" ca="1" si="26"/>
        <v>5yrs +</v>
      </c>
      <c r="N392" s="3">
        <f t="shared" ca="1" si="27"/>
        <v>59</v>
      </c>
    </row>
    <row r="393" spans="1:14" x14ac:dyDescent="0.35">
      <c r="A393" t="s">
        <v>807</v>
      </c>
      <c r="B393" t="s">
        <v>808</v>
      </c>
      <c r="C393" t="s">
        <v>11</v>
      </c>
      <c r="D393">
        <v>64</v>
      </c>
      <c r="E393" t="s">
        <v>12</v>
      </c>
      <c r="F393" t="s">
        <v>13</v>
      </c>
      <c r="G393" s="2">
        <v>144677</v>
      </c>
      <c r="H393" t="s">
        <v>14</v>
      </c>
      <c r="I393" s="1">
        <v>43422</v>
      </c>
      <c r="J393" t="str">
        <f t="shared" si="24"/>
        <v>Boomers</v>
      </c>
      <c r="K393" t="str" cm="1">
        <f t="array" ref="K393">_xlfn.IFS(G393&lt;=50000,"Low",G393&lt;=100000,"Medium",G393&lt;=150000,"High",G393&gt;=150001,"Premium")</f>
        <v>High</v>
      </c>
      <c r="L393" s="3">
        <f t="shared" ca="1" si="25"/>
        <v>7</v>
      </c>
      <c r="M393" t="str">
        <f t="shared" ca="1" si="26"/>
        <v>5yrs +</v>
      </c>
      <c r="N393" s="3">
        <f t="shared" ca="1" si="27"/>
        <v>118</v>
      </c>
    </row>
    <row r="394" spans="1:14" x14ac:dyDescent="0.35">
      <c r="A394" t="s">
        <v>809</v>
      </c>
      <c r="B394" t="s">
        <v>810</v>
      </c>
      <c r="C394" t="s">
        <v>17</v>
      </c>
      <c r="D394">
        <v>58</v>
      </c>
      <c r="E394" t="s">
        <v>34</v>
      </c>
      <c r="F394" t="s">
        <v>23</v>
      </c>
      <c r="G394" s="2">
        <v>196422</v>
      </c>
      <c r="H394" t="s">
        <v>24</v>
      </c>
      <c r="I394" s="1">
        <v>44545</v>
      </c>
      <c r="J394" t="str">
        <f t="shared" si="24"/>
        <v>Gen X</v>
      </c>
      <c r="K394" t="str" cm="1">
        <f t="array" ref="K394">_xlfn.IFS(G394&lt;=50000,"Low",G394&lt;=100000,"Medium",G394&lt;=150000,"High",G394&gt;=150001,"Premium")</f>
        <v>Premium</v>
      </c>
      <c r="L394" s="3">
        <f t="shared" ca="1" si="25"/>
        <v>3</v>
      </c>
      <c r="M394" t="str">
        <f t="shared" ca="1" si="26"/>
        <v>3-5yrs</v>
      </c>
      <c r="N394" s="3">
        <f t="shared" ca="1" si="27"/>
        <v>319</v>
      </c>
    </row>
    <row r="395" spans="1:14" x14ac:dyDescent="0.35">
      <c r="A395" t="s">
        <v>811</v>
      </c>
      <c r="B395" t="s">
        <v>812</v>
      </c>
      <c r="C395" t="s">
        <v>17</v>
      </c>
      <c r="D395">
        <v>66</v>
      </c>
      <c r="E395" t="s">
        <v>12</v>
      </c>
      <c r="F395" t="s">
        <v>37</v>
      </c>
      <c r="G395" s="2">
        <v>163273</v>
      </c>
      <c r="H395" t="s">
        <v>20</v>
      </c>
      <c r="I395" s="1">
        <v>42384</v>
      </c>
      <c r="J395" t="str">
        <f t="shared" si="24"/>
        <v>Boomers</v>
      </c>
      <c r="K395" t="str" cm="1">
        <f t="array" ref="K395">_xlfn.IFS(G395&lt;=50000,"Low",G395&lt;=100000,"Medium",G395&lt;=150000,"High",G395&gt;=150001,"Premium")</f>
        <v>Premium</v>
      </c>
      <c r="L395" s="3">
        <f t="shared" ca="1" si="25"/>
        <v>9</v>
      </c>
      <c r="M395" t="str">
        <f t="shared" ca="1" si="26"/>
        <v>5yrs +</v>
      </c>
      <c r="N395" s="3">
        <f t="shared" ca="1" si="27"/>
        <v>17</v>
      </c>
    </row>
    <row r="396" spans="1:14" x14ac:dyDescent="0.35">
      <c r="A396" t="s">
        <v>813</v>
      </c>
      <c r="B396" t="s">
        <v>814</v>
      </c>
      <c r="C396" t="s">
        <v>11</v>
      </c>
      <c r="D396">
        <v>31</v>
      </c>
      <c r="E396" t="s">
        <v>34</v>
      </c>
      <c r="F396" t="s">
        <v>27</v>
      </c>
      <c r="G396" s="2">
        <v>49426</v>
      </c>
      <c r="H396" t="s">
        <v>14</v>
      </c>
      <c r="I396" s="1">
        <v>45372</v>
      </c>
      <c r="J396" t="str">
        <f t="shared" si="24"/>
        <v>Millennials</v>
      </c>
      <c r="K396" t="str" cm="1">
        <f t="array" ref="K396">_xlfn.IFS(G396&lt;=50000,"Low",G396&lt;=100000,"Medium",G396&lt;=150000,"High",G396&gt;=150001,"Premium")</f>
        <v>Low</v>
      </c>
      <c r="L396" s="3">
        <f t="shared" ca="1" si="25"/>
        <v>1</v>
      </c>
      <c r="M396" t="str">
        <f t="shared" ca="1" si="26"/>
        <v>1-3yrs</v>
      </c>
      <c r="N396" s="3">
        <f t="shared" ca="1" si="27"/>
        <v>422</v>
      </c>
    </row>
    <row r="397" spans="1:14" x14ac:dyDescent="0.35">
      <c r="A397" t="s">
        <v>815</v>
      </c>
      <c r="B397" t="s">
        <v>816</v>
      </c>
      <c r="C397" t="s">
        <v>17</v>
      </c>
      <c r="D397">
        <v>32</v>
      </c>
      <c r="E397" t="s">
        <v>30</v>
      </c>
      <c r="F397" t="s">
        <v>23</v>
      </c>
      <c r="G397" s="2">
        <v>37778</v>
      </c>
      <c r="H397" t="s">
        <v>20</v>
      </c>
      <c r="I397" s="1">
        <v>44714</v>
      </c>
      <c r="J397" t="str">
        <f t="shared" si="24"/>
        <v>Millennials</v>
      </c>
      <c r="K397" t="str" cm="1">
        <f t="array" ref="K397">_xlfn.IFS(G397&lt;=50000,"Low",G397&lt;=100000,"Medium",G397&lt;=150000,"High",G397&gt;=150001,"Premium")</f>
        <v>Low</v>
      </c>
      <c r="L397" s="3">
        <f t="shared" ca="1" si="25"/>
        <v>3</v>
      </c>
      <c r="M397" t="str">
        <f t="shared" ca="1" si="26"/>
        <v>3-5yrs</v>
      </c>
      <c r="N397" s="3">
        <f t="shared" ca="1" si="27"/>
        <v>319</v>
      </c>
    </row>
    <row r="398" spans="1:14" x14ac:dyDescent="0.35">
      <c r="A398" t="s">
        <v>817</v>
      </c>
      <c r="B398" t="s">
        <v>818</v>
      </c>
      <c r="C398" t="s">
        <v>17</v>
      </c>
      <c r="D398">
        <v>48</v>
      </c>
      <c r="E398" t="s">
        <v>30</v>
      </c>
      <c r="F398" t="s">
        <v>42</v>
      </c>
      <c r="G398" s="2">
        <v>196313</v>
      </c>
      <c r="H398" t="s">
        <v>20</v>
      </c>
      <c r="I398" s="1">
        <v>44176</v>
      </c>
      <c r="J398" t="str">
        <f t="shared" si="24"/>
        <v>Gen X</v>
      </c>
      <c r="K398" t="str" cm="1">
        <f t="array" ref="K398">_xlfn.IFS(G398&lt;=50000,"Low",G398&lt;=100000,"Medium",G398&lt;=150000,"High",G398&gt;=150001,"Premium")</f>
        <v>Premium</v>
      </c>
      <c r="L398" s="3">
        <f t="shared" ca="1" si="25"/>
        <v>4</v>
      </c>
      <c r="M398" t="str">
        <f t="shared" ca="1" si="26"/>
        <v>3-5yrs</v>
      </c>
      <c r="N398" s="3">
        <f t="shared" ca="1" si="27"/>
        <v>273</v>
      </c>
    </row>
    <row r="399" spans="1:14" x14ac:dyDescent="0.35">
      <c r="A399" t="s">
        <v>819</v>
      </c>
      <c r="B399" t="s">
        <v>820</v>
      </c>
      <c r="C399" t="s">
        <v>17</v>
      </c>
      <c r="D399">
        <v>18</v>
      </c>
      <c r="E399" t="s">
        <v>18</v>
      </c>
      <c r="F399" t="s">
        <v>23</v>
      </c>
      <c r="G399" s="2">
        <v>62229</v>
      </c>
      <c r="H399" t="s">
        <v>20</v>
      </c>
      <c r="I399" s="1">
        <v>45160</v>
      </c>
      <c r="J399" t="str">
        <f t="shared" si="24"/>
        <v>Gen Z</v>
      </c>
      <c r="K399" t="str" cm="1">
        <f t="array" ref="K399">_xlfn.IFS(G399&lt;=50000,"Low",G399&lt;=100000,"Medium",G399&lt;=150000,"High",G399&gt;=150001,"Premium")</f>
        <v>Medium</v>
      </c>
      <c r="L399" s="3">
        <f t="shared" ca="1" si="25"/>
        <v>2</v>
      </c>
      <c r="M399" t="str">
        <f t="shared" ca="1" si="26"/>
        <v>1-3yrs</v>
      </c>
      <c r="N399" s="3">
        <f t="shared" ca="1" si="27"/>
        <v>367</v>
      </c>
    </row>
    <row r="400" spans="1:14" x14ac:dyDescent="0.35">
      <c r="A400" t="s">
        <v>821</v>
      </c>
      <c r="B400" t="s">
        <v>822</v>
      </c>
      <c r="C400" t="s">
        <v>17</v>
      </c>
      <c r="D400">
        <v>70</v>
      </c>
      <c r="E400" t="s">
        <v>30</v>
      </c>
      <c r="F400" t="s">
        <v>42</v>
      </c>
      <c r="G400" s="2">
        <v>106652</v>
      </c>
      <c r="H400" t="s">
        <v>14</v>
      </c>
      <c r="I400" s="1">
        <v>45702</v>
      </c>
      <c r="J400" t="str">
        <f t="shared" si="24"/>
        <v>Boomers</v>
      </c>
      <c r="K400" t="str" cm="1">
        <f t="array" ref="K400">_xlfn.IFS(G400&lt;=50000,"Low",G400&lt;=100000,"Medium",G400&lt;=150000,"High",G400&gt;=150001,"Premium")</f>
        <v>High</v>
      </c>
      <c r="L400" s="3">
        <f t="shared" ca="1" si="25"/>
        <v>0</v>
      </c>
      <c r="M400" t="str">
        <f t="shared" ca="1" si="26"/>
        <v>0-1yr</v>
      </c>
      <c r="N400" s="3">
        <f t="shared" ca="1" si="27"/>
        <v>475</v>
      </c>
    </row>
    <row r="401" spans="1:14" x14ac:dyDescent="0.35">
      <c r="A401" t="s">
        <v>823</v>
      </c>
      <c r="B401" t="s">
        <v>824</v>
      </c>
      <c r="C401" t="s">
        <v>11</v>
      </c>
      <c r="D401">
        <v>71</v>
      </c>
      <c r="E401" t="s">
        <v>34</v>
      </c>
      <c r="F401" t="s">
        <v>37</v>
      </c>
      <c r="G401" s="2">
        <v>148267</v>
      </c>
      <c r="H401" t="s">
        <v>14</v>
      </c>
      <c r="I401" s="1">
        <v>42789</v>
      </c>
      <c r="J401" t="str">
        <f t="shared" si="24"/>
        <v>Boomers</v>
      </c>
      <c r="K401" t="str" cm="1">
        <f t="array" ref="K401">_xlfn.IFS(G401&lt;=50000,"Low",G401&lt;=100000,"Medium",G401&lt;=150000,"High",G401&gt;=150001,"Premium")</f>
        <v>High</v>
      </c>
      <c r="L401" s="3">
        <f t="shared" ca="1" si="25"/>
        <v>8</v>
      </c>
      <c r="M401" t="str">
        <f t="shared" ca="1" si="26"/>
        <v>5yrs +</v>
      </c>
      <c r="N401" s="3">
        <f t="shared" ca="1" si="27"/>
        <v>59</v>
      </c>
    </row>
    <row r="402" spans="1:14" x14ac:dyDescent="0.35">
      <c r="A402" t="s">
        <v>825</v>
      </c>
      <c r="B402" t="s">
        <v>826</v>
      </c>
      <c r="C402" t="s">
        <v>17</v>
      </c>
      <c r="D402">
        <v>71</v>
      </c>
      <c r="E402" t="s">
        <v>30</v>
      </c>
      <c r="F402" t="s">
        <v>42</v>
      </c>
      <c r="G402" s="2">
        <v>199436</v>
      </c>
      <c r="H402" t="s">
        <v>24</v>
      </c>
      <c r="I402" s="1">
        <v>44100</v>
      </c>
      <c r="J402" t="str">
        <f t="shared" si="24"/>
        <v>Boomers</v>
      </c>
      <c r="K402" t="str" cm="1">
        <f t="array" ref="K402">_xlfn.IFS(G402&lt;=50000,"Low",G402&lt;=100000,"Medium",G402&lt;=150000,"High",G402&gt;=150001,"Premium")</f>
        <v>Premium</v>
      </c>
      <c r="L402" s="3">
        <f t="shared" ca="1" si="25"/>
        <v>5</v>
      </c>
      <c r="M402" t="str">
        <f t="shared" ca="1" si="26"/>
        <v>5yrs +</v>
      </c>
      <c r="N402" s="3">
        <f t="shared" ca="1" si="27"/>
        <v>227</v>
      </c>
    </row>
    <row r="403" spans="1:14" x14ac:dyDescent="0.35">
      <c r="A403" t="s">
        <v>827</v>
      </c>
      <c r="B403" t="s">
        <v>828</v>
      </c>
      <c r="C403" t="s">
        <v>17</v>
      </c>
      <c r="D403">
        <v>20</v>
      </c>
      <c r="E403" t="s">
        <v>18</v>
      </c>
      <c r="F403" t="s">
        <v>23</v>
      </c>
      <c r="G403" s="2">
        <v>146503</v>
      </c>
      <c r="H403" t="s">
        <v>14</v>
      </c>
      <c r="I403" s="1">
        <v>44310</v>
      </c>
      <c r="J403" t="str">
        <f t="shared" si="24"/>
        <v>Gen Z</v>
      </c>
      <c r="K403" t="str" cm="1">
        <f t="array" ref="K403">_xlfn.IFS(G403&lt;=50000,"Low",G403&lt;=100000,"Medium",G403&lt;=150000,"High",G403&gt;=150001,"Premium")</f>
        <v>High</v>
      </c>
      <c r="L403" s="3">
        <f t="shared" ca="1" si="25"/>
        <v>4</v>
      </c>
      <c r="M403" t="str">
        <f t="shared" ca="1" si="26"/>
        <v>3-5yrs</v>
      </c>
      <c r="N403" s="3">
        <f t="shared" ca="1" si="27"/>
        <v>273</v>
      </c>
    </row>
    <row r="404" spans="1:14" x14ac:dyDescent="0.35">
      <c r="A404" t="s">
        <v>829</v>
      </c>
      <c r="B404" t="s">
        <v>830</v>
      </c>
      <c r="C404" t="s">
        <v>11</v>
      </c>
      <c r="D404">
        <v>33</v>
      </c>
      <c r="E404" t="s">
        <v>12</v>
      </c>
      <c r="F404" t="s">
        <v>27</v>
      </c>
      <c r="G404" s="2">
        <v>104878</v>
      </c>
      <c r="H404" t="s">
        <v>14</v>
      </c>
      <c r="I404" s="1">
        <v>43523</v>
      </c>
      <c r="J404" t="str">
        <f t="shared" si="24"/>
        <v>Millennials</v>
      </c>
      <c r="K404" t="str" cm="1">
        <f t="array" ref="K404">_xlfn.IFS(G404&lt;=50000,"Low",G404&lt;=100000,"Medium",G404&lt;=150000,"High",G404&gt;=150001,"Premium")</f>
        <v>High</v>
      </c>
      <c r="L404" s="3">
        <f t="shared" ca="1" si="25"/>
        <v>6</v>
      </c>
      <c r="M404" t="str">
        <f t="shared" ca="1" si="26"/>
        <v>5yrs +</v>
      </c>
      <c r="N404" s="3">
        <f t="shared" ca="1" si="27"/>
        <v>169</v>
      </c>
    </row>
    <row r="405" spans="1:14" x14ac:dyDescent="0.35">
      <c r="A405" t="s">
        <v>831</v>
      </c>
      <c r="B405" t="s">
        <v>832</v>
      </c>
      <c r="C405" t="s">
        <v>11</v>
      </c>
      <c r="D405">
        <v>40</v>
      </c>
      <c r="E405" t="s">
        <v>34</v>
      </c>
      <c r="F405" t="s">
        <v>31</v>
      </c>
      <c r="G405" s="2">
        <v>77056</v>
      </c>
      <c r="H405" t="s">
        <v>14</v>
      </c>
      <c r="I405" s="1">
        <v>44268</v>
      </c>
      <c r="J405" t="str">
        <f t="shared" si="24"/>
        <v>Millennials</v>
      </c>
      <c r="K405" t="str" cm="1">
        <f t="array" ref="K405">_xlfn.IFS(G405&lt;=50000,"Low",G405&lt;=100000,"Medium",G405&lt;=150000,"High",G405&gt;=150001,"Premium")</f>
        <v>Medium</v>
      </c>
      <c r="L405" s="3">
        <f t="shared" ca="1" si="25"/>
        <v>4</v>
      </c>
      <c r="M405" t="str">
        <f t="shared" ca="1" si="26"/>
        <v>3-5yrs</v>
      </c>
      <c r="N405" s="3">
        <f t="shared" ca="1" si="27"/>
        <v>273</v>
      </c>
    </row>
    <row r="406" spans="1:14" x14ac:dyDescent="0.35">
      <c r="A406" t="s">
        <v>833</v>
      </c>
      <c r="B406" t="s">
        <v>834</v>
      </c>
      <c r="C406" t="s">
        <v>17</v>
      </c>
      <c r="D406">
        <v>74</v>
      </c>
      <c r="E406" t="s">
        <v>12</v>
      </c>
      <c r="F406" t="s">
        <v>23</v>
      </c>
      <c r="G406" s="2">
        <v>178562</v>
      </c>
      <c r="H406" t="s">
        <v>14</v>
      </c>
      <c r="I406" s="1">
        <v>45246</v>
      </c>
      <c r="J406" t="str">
        <f t="shared" si="24"/>
        <v>Boomers</v>
      </c>
      <c r="K406" t="str" cm="1">
        <f t="array" ref="K406">_xlfn.IFS(G406&lt;=50000,"Low",G406&lt;=100000,"Medium",G406&lt;=150000,"High",G406&gt;=150001,"Premium")</f>
        <v>Premium</v>
      </c>
      <c r="L406" s="3">
        <f t="shared" ca="1" si="25"/>
        <v>2</v>
      </c>
      <c r="M406" t="str">
        <f t="shared" ca="1" si="26"/>
        <v>1-3yrs</v>
      </c>
      <c r="N406" s="3">
        <f t="shared" ca="1" si="27"/>
        <v>367</v>
      </c>
    </row>
    <row r="407" spans="1:14" x14ac:dyDescent="0.35">
      <c r="A407" t="s">
        <v>835</v>
      </c>
      <c r="B407" t="s">
        <v>836</v>
      </c>
      <c r="C407" t="s">
        <v>17</v>
      </c>
      <c r="D407">
        <v>28</v>
      </c>
      <c r="E407" t="s">
        <v>18</v>
      </c>
      <c r="F407" t="s">
        <v>42</v>
      </c>
      <c r="G407" s="2">
        <v>39975</v>
      </c>
      <c r="H407" t="s">
        <v>20</v>
      </c>
      <c r="I407" s="1">
        <v>44902</v>
      </c>
      <c r="J407" t="str">
        <f t="shared" si="24"/>
        <v>Gen Z</v>
      </c>
      <c r="K407" t="str" cm="1">
        <f t="array" ref="K407">_xlfn.IFS(G407&lt;=50000,"Low",G407&lt;=100000,"Medium",G407&lt;=150000,"High",G407&gt;=150001,"Premium")</f>
        <v>Low</v>
      </c>
      <c r="L407" s="3">
        <f t="shared" ca="1" si="25"/>
        <v>2</v>
      </c>
      <c r="M407" t="str">
        <f t="shared" ca="1" si="26"/>
        <v>1-3yrs</v>
      </c>
      <c r="N407" s="3">
        <f t="shared" ca="1" si="27"/>
        <v>367</v>
      </c>
    </row>
    <row r="408" spans="1:14" x14ac:dyDescent="0.35">
      <c r="A408" t="s">
        <v>837</v>
      </c>
      <c r="B408" t="s">
        <v>838</v>
      </c>
      <c r="C408" t="s">
        <v>17</v>
      </c>
      <c r="D408">
        <v>29</v>
      </c>
      <c r="E408" t="s">
        <v>18</v>
      </c>
      <c r="F408" t="s">
        <v>31</v>
      </c>
      <c r="G408" s="2">
        <v>177795</v>
      </c>
      <c r="H408" t="s">
        <v>24</v>
      </c>
      <c r="I408" s="1">
        <v>43097</v>
      </c>
      <c r="J408" t="str">
        <f t="shared" si="24"/>
        <v>Millennials</v>
      </c>
      <c r="K408" t="str" cm="1">
        <f t="array" ref="K408">_xlfn.IFS(G408&lt;=50000,"Low",G408&lt;=100000,"Medium",G408&lt;=150000,"High",G408&gt;=150001,"Premium")</f>
        <v>Premium</v>
      </c>
      <c r="L408" s="3">
        <f t="shared" ca="1" si="25"/>
        <v>7</v>
      </c>
      <c r="M408" t="str">
        <f t="shared" ca="1" si="26"/>
        <v>5yrs +</v>
      </c>
      <c r="N408" s="3">
        <f t="shared" ca="1" si="27"/>
        <v>118</v>
      </c>
    </row>
    <row r="409" spans="1:14" x14ac:dyDescent="0.35">
      <c r="A409" t="s">
        <v>839</v>
      </c>
      <c r="B409" t="s">
        <v>840</v>
      </c>
      <c r="C409" t="s">
        <v>17</v>
      </c>
      <c r="D409">
        <v>27</v>
      </c>
      <c r="E409" t="s">
        <v>18</v>
      </c>
      <c r="F409" t="s">
        <v>42</v>
      </c>
      <c r="G409" s="2">
        <v>174351</v>
      </c>
      <c r="H409" t="s">
        <v>14</v>
      </c>
      <c r="I409" s="1">
        <v>42571</v>
      </c>
      <c r="J409" t="str">
        <f t="shared" si="24"/>
        <v>Gen Z</v>
      </c>
      <c r="K409" t="str" cm="1">
        <f t="array" ref="K409">_xlfn.IFS(G409&lt;=50000,"Low",G409&lt;=100000,"Medium",G409&lt;=150000,"High",G409&gt;=150001,"Premium")</f>
        <v>Premium</v>
      </c>
      <c r="L409" s="3">
        <f t="shared" ca="1" si="25"/>
        <v>9</v>
      </c>
      <c r="M409" t="str">
        <f t="shared" ca="1" si="26"/>
        <v>5yrs +</v>
      </c>
      <c r="N409" s="3">
        <f t="shared" ca="1" si="27"/>
        <v>17</v>
      </c>
    </row>
    <row r="410" spans="1:14" x14ac:dyDescent="0.35">
      <c r="A410" t="s">
        <v>841</v>
      </c>
      <c r="B410" t="s">
        <v>842</v>
      </c>
      <c r="C410" t="s">
        <v>17</v>
      </c>
      <c r="D410">
        <v>49</v>
      </c>
      <c r="E410" t="s">
        <v>12</v>
      </c>
      <c r="F410" t="s">
        <v>27</v>
      </c>
      <c r="G410" s="2">
        <v>162633</v>
      </c>
      <c r="H410" t="s">
        <v>14</v>
      </c>
      <c r="I410" s="1">
        <v>43721</v>
      </c>
      <c r="J410" t="str">
        <f t="shared" si="24"/>
        <v>Gen X</v>
      </c>
      <c r="K410" t="str" cm="1">
        <f t="array" ref="K410">_xlfn.IFS(G410&lt;=50000,"Low",G410&lt;=100000,"Medium",G410&lt;=150000,"High",G410&gt;=150001,"Premium")</f>
        <v>Premium</v>
      </c>
      <c r="L410" s="3">
        <f t="shared" ca="1" si="25"/>
        <v>6</v>
      </c>
      <c r="M410" t="str">
        <f t="shared" ca="1" si="26"/>
        <v>5yrs +</v>
      </c>
      <c r="N410" s="3">
        <f t="shared" ca="1" si="27"/>
        <v>169</v>
      </c>
    </row>
    <row r="411" spans="1:14" x14ac:dyDescent="0.35">
      <c r="A411" t="s">
        <v>843</v>
      </c>
      <c r="B411" t="s">
        <v>844</v>
      </c>
      <c r="C411" t="s">
        <v>17</v>
      </c>
      <c r="D411">
        <v>33</v>
      </c>
      <c r="E411" t="s">
        <v>12</v>
      </c>
      <c r="F411" t="s">
        <v>42</v>
      </c>
      <c r="G411" s="2">
        <v>108397</v>
      </c>
      <c r="H411" t="s">
        <v>14</v>
      </c>
      <c r="I411" s="1">
        <v>42587</v>
      </c>
      <c r="J411" t="str">
        <f t="shared" si="24"/>
        <v>Millennials</v>
      </c>
      <c r="K411" t="str" cm="1">
        <f t="array" ref="K411">_xlfn.IFS(G411&lt;=50000,"Low",G411&lt;=100000,"Medium",G411&lt;=150000,"High",G411&gt;=150001,"Premium")</f>
        <v>High</v>
      </c>
      <c r="L411" s="3">
        <f t="shared" ca="1" si="25"/>
        <v>9</v>
      </c>
      <c r="M411" t="str">
        <f t="shared" ca="1" si="26"/>
        <v>5yrs +</v>
      </c>
      <c r="N411" s="3">
        <f t="shared" ca="1" si="27"/>
        <v>17</v>
      </c>
    </row>
    <row r="412" spans="1:14" x14ac:dyDescent="0.35">
      <c r="A412" t="s">
        <v>845</v>
      </c>
      <c r="B412" t="s">
        <v>846</v>
      </c>
      <c r="C412" t="s">
        <v>11</v>
      </c>
      <c r="D412">
        <v>25</v>
      </c>
      <c r="E412" t="s">
        <v>12</v>
      </c>
      <c r="F412" t="s">
        <v>37</v>
      </c>
      <c r="G412" s="2">
        <v>53142</v>
      </c>
      <c r="H412" t="s">
        <v>20</v>
      </c>
      <c r="I412" s="1">
        <v>43411</v>
      </c>
      <c r="J412" t="str">
        <f t="shared" si="24"/>
        <v>Gen Z</v>
      </c>
      <c r="K412" t="str" cm="1">
        <f t="array" ref="K412">_xlfn.IFS(G412&lt;=50000,"Low",G412&lt;=100000,"Medium",G412&lt;=150000,"High",G412&gt;=150001,"Premium")</f>
        <v>Medium</v>
      </c>
      <c r="L412" s="3">
        <f t="shared" ca="1" si="25"/>
        <v>7</v>
      </c>
      <c r="M412" t="str">
        <f t="shared" ca="1" si="26"/>
        <v>5yrs +</v>
      </c>
      <c r="N412" s="3">
        <f t="shared" ca="1" si="27"/>
        <v>118</v>
      </c>
    </row>
    <row r="413" spans="1:14" x14ac:dyDescent="0.35">
      <c r="A413" t="s">
        <v>847</v>
      </c>
      <c r="B413" t="s">
        <v>848</v>
      </c>
      <c r="C413" t="s">
        <v>17</v>
      </c>
      <c r="D413">
        <v>55</v>
      </c>
      <c r="E413" t="s">
        <v>12</v>
      </c>
      <c r="F413" t="s">
        <v>13</v>
      </c>
      <c r="G413" s="2">
        <v>46916</v>
      </c>
      <c r="H413" t="s">
        <v>20</v>
      </c>
      <c r="I413" s="1">
        <v>45608</v>
      </c>
      <c r="J413" t="str">
        <f t="shared" si="24"/>
        <v>Gen X</v>
      </c>
      <c r="K413" t="str" cm="1">
        <f t="array" ref="K413">_xlfn.IFS(G413&lt;=50000,"Low",G413&lt;=100000,"Medium",G413&lt;=150000,"High",G413&gt;=150001,"Premium")</f>
        <v>Low</v>
      </c>
      <c r="L413" s="3">
        <f t="shared" ca="1" si="25"/>
        <v>1</v>
      </c>
      <c r="M413" t="str">
        <f t="shared" ca="1" si="26"/>
        <v>1-3yrs</v>
      </c>
      <c r="N413" s="3">
        <f t="shared" ca="1" si="27"/>
        <v>422</v>
      </c>
    </row>
    <row r="414" spans="1:14" x14ac:dyDescent="0.35">
      <c r="A414" t="s">
        <v>849</v>
      </c>
      <c r="B414" t="s">
        <v>850</v>
      </c>
      <c r="C414" t="s">
        <v>17</v>
      </c>
      <c r="D414">
        <v>29</v>
      </c>
      <c r="E414" t="s">
        <v>18</v>
      </c>
      <c r="F414" t="s">
        <v>23</v>
      </c>
      <c r="G414" s="2">
        <v>84324</v>
      </c>
      <c r="H414" t="s">
        <v>14</v>
      </c>
      <c r="I414" s="1">
        <v>44965</v>
      </c>
      <c r="J414" t="str">
        <f t="shared" si="24"/>
        <v>Millennials</v>
      </c>
      <c r="K414" t="str" cm="1">
        <f t="array" ref="K414">_xlfn.IFS(G414&lt;=50000,"Low",G414&lt;=100000,"Medium",G414&lt;=150000,"High",G414&gt;=150001,"Premium")</f>
        <v>Medium</v>
      </c>
      <c r="L414" s="3">
        <f t="shared" ca="1" si="25"/>
        <v>2</v>
      </c>
      <c r="M414" t="str">
        <f t="shared" ca="1" si="26"/>
        <v>1-3yrs</v>
      </c>
      <c r="N414" s="3">
        <f t="shared" ca="1" si="27"/>
        <v>367</v>
      </c>
    </row>
    <row r="415" spans="1:14" x14ac:dyDescent="0.35">
      <c r="A415" t="s">
        <v>851</v>
      </c>
      <c r="B415" t="s">
        <v>852</v>
      </c>
      <c r="C415" t="s">
        <v>11</v>
      </c>
      <c r="D415">
        <v>41</v>
      </c>
      <c r="E415" t="s">
        <v>18</v>
      </c>
      <c r="F415" t="s">
        <v>13</v>
      </c>
      <c r="G415" s="2">
        <v>196037</v>
      </c>
      <c r="H415" t="s">
        <v>20</v>
      </c>
      <c r="I415" s="1">
        <v>42457</v>
      </c>
      <c r="J415" t="str">
        <f t="shared" si="24"/>
        <v>Millennials</v>
      </c>
      <c r="K415" t="str" cm="1">
        <f t="array" ref="K415">_xlfn.IFS(G415&lt;=50000,"Low",G415&lt;=100000,"Medium",G415&lt;=150000,"High",G415&gt;=150001,"Premium")</f>
        <v>Premium</v>
      </c>
      <c r="L415" s="3">
        <f t="shared" ca="1" si="25"/>
        <v>9</v>
      </c>
      <c r="M415" t="str">
        <f t="shared" ca="1" si="26"/>
        <v>5yrs +</v>
      </c>
      <c r="N415" s="3">
        <f t="shared" ca="1" si="27"/>
        <v>17</v>
      </c>
    </row>
    <row r="416" spans="1:14" x14ac:dyDescent="0.35">
      <c r="A416" t="s">
        <v>853</v>
      </c>
      <c r="B416" t="s">
        <v>854</v>
      </c>
      <c r="C416" t="s">
        <v>11</v>
      </c>
      <c r="D416">
        <v>45</v>
      </c>
      <c r="E416" t="s">
        <v>34</v>
      </c>
      <c r="F416" t="s">
        <v>42</v>
      </c>
      <c r="G416" s="2">
        <v>145932</v>
      </c>
      <c r="H416" t="s">
        <v>20</v>
      </c>
      <c r="I416" s="1">
        <v>45884</v>
      </c>
      <c r="J416" t="str">
        <f t="shared" si="24"/>
        <v>Gen X</v>
      </c>
      <c r="K416" t="str" cm="1">
        <f t="array" ref="K416">_xlfn.IFS(G416&lt;=50000,"Low",G416&lt;=100000,"Medium",G416&lt;=150000,"High",G416&gt;=150001,"Premium")</f>
        <v>High</v>
      </c>
      <c r="L416" s="3">
        <f t="shared" ca="1" si="25"/>
        <v>0</v>
      </c>
      <c r="M416" t="str">
        <f t="shared" ca="1" si="26"/>
        <v>0-1yr</v>
      </c>
      <c r="N416" s="3">
        <f t="shared" ca="1" si="27"/>
        <v>475</v>
      </c>
    </row>
    <row r="417" spans="1:14" x14ac:dyDescent="0.35">
      <c r="A417" t="s">
        <v>855</v>
      </c>
      <c r="B417" t="s">
        <v>856</v>
      </c>
      <c r="C417" t="s">
        <v>11</v>
      </c>
      <c r="D417">
        <v>70</v>
      </c>
      <c r="E417" t="s">
        <v>34</v>
      </c>
      <c r="F417" t="s">
        <v>27</v>
      </c>
      <c r="G417" s="2">
        <v>155720</v>
      </c>
      <c r="H417" t="s">
        <v>20</v>
      </c>
      <c r="I417" s="1">
        <v>43022</v>
      </c>
      <c r="J417" t="str">
        <f t="shared" si="24"/>
        <v>Boomers</v>
      </c>
      <c r="K417" t="str" cm="1">
        <f t="array" ref="K417">_xlfn.IFS(G417&lt;=50000,"Low",G417&lt;=100000,"Medium",G417&lt;=150000,"High",G417&gt;=150001,"Premium")</f>
        <v>Premium</v>
      </c>
      <c r="L417" s="3">
        <f t="shared" ca="1" si="25"/>
        <v>8</v>
      </c>
      <c r="M417" t="str">
        <f t="shared" ca="1" si="26"/>
        <v>5yrs +</v>
      </c>
      <c r="N417" s="3">
        <f t="shared" ca="1" si="27"/>
        <v>59</v>
      </c>
    </row>
    <row r="418" spans="1:14" x14ac:dyDescent="0.35">
      <c r="A418" t="s">
        <v>857</v>
      </c>
      <c r="B418" t="s">
        <v>858</v>
      </c>
      <c r="C418" t="s">
        <v>11</v>
      </c>
      <c r="D418">
        <v>25</v>
      </c>
      <c r="E418" t="s">
        <v>12</v>
      </c>
      <c r="F418" t="s">
        <v>23</v>
      </c>
      <c r="G418" s="2">
        <v>186205</v>
      </c>
      <c r="H418" t="s">
        <v>24</v>
      </c>
      <c r="I418" s="1">
        <v>45595</v>
      </c>
      <c r="J418" t="str">
        <f t="shared" si="24"/>
        <v>Gen Z</v>
      </c>
      <c r="K418" t="str" cm="1">
        <f t="array" ref="K418">_xlfn.IFS(G418&lt;=50000,"Low",G418&lt;=100000,"Medium",G418&lt;=150000,"High",G418&gt;=150001,"Premium")</f>
        <v>Premium</v>
      </c>
      <c r="L418" s="3">
        <f t="shared" ca="1" si="25"/>
        <v>1</v>
      </c>
      <c r="M418" t="str">
        <f t="shared" ca="1" si="26"/>
        <v>1-3yrs</v>
      </c>
      <c r="N418" s="3">
        <f t="shared" ca="1" si="27"/>
        <v>422</v>
      </c>
    </row>
    <row r="419" spans="1:14" x14ac:dyDescent="0.35">
      <c r="A419" t="s">
        <v>859</v>
      </c>
      <c r="B419" t="s">
        <v>860</v>
      </c>
      <c r="C419" t="s">
        <v>17</v>
      </c>
      <c r="D419">
        <v>45</v>
      </c>
      <c r="E419" t="s">
        <v>30</v>
      </c>
      <c r="F419" t="s">
        <v>42</v>
      </c>
      <c r="G419" s="2">
        <v>116059</v>
      </c>
      <c r="H419" t="s">
        <v>14</v>
      </c>
      <c r="I419" s="1">
        <v>43432</v>
      </c>
      <c r="J419" t="str">
        <f t="shared" si="24"/>
        <v>Gen X</v>
      </c>
      <c r="K419" t="str" cm="1">
        <f t="array" ref="K419">_xlfn.IFS(G419&lt;=50000,"Low",G419&lt;=100000,"Medium",G419&lt;=150000,"High",G419&gt;=150001,"Premium")</f>
        <v>High</v>
      </c>
      <c r="L419" s="3">
        <f t="shared" ca="1" si="25"/>
        <v>6</v>
      </c>
      <c r="M419" t="str">
        <f t="shared" ca="1" si="26"/>
        <v>5yrs +</v>
      </c>
      <c r="N419" s="3">
        <f t="shared" ca="1" si="27"/>
        <v>169</v>
      </c>
    </row>
    <row r="420" spans="1:14" x14ac:dyDescent="0.35">
      <c r="A420" t="s">
        <v>861</v>
      </c>
      <c r="B420" t="s">
        <v>862</v>
      </c>
      <c r="C420" t="s">
        <v>17</v>
      </c>
      <c r="D420">
        <v>53</v>
      </c>
      <c r="E420" t="s">
        <v>30</v>
      </c>
      <c r="F420" t="s">
        <v>31</v>
      </c>
      <c r="G420" s="2">
        <v>118317</v>
      </c>
      <c r="H420" t="s">
        <v>20</v>
      </c>
      <c r="I420" s="1">
        <v>42802</v>
      </c>
      <c r="J420" t="str">
        <f t="shared" si="24"/>
        <v>Gen X</v>
      </c>
      <c r="K420" t="str" cm="1">
        <f t="array" ref="K420">_xlfn.IFS(G420&lt;=50000,"Low",G420&lt;=100000,"Medium",G420&lt;=150000,"High",G420&gt;=150001,"Premium")</f>
        <v>High</v>
      </c>
      <c r="L420" s="3">
        <f t="shared" ca="1" si="25"/>
        <v>8</v>
      </c>
      <c r="M420" t="str">
        <f t="shared" ca="1" si="26"/>
        <v>5yrs +</v>
      </c>
      <c r="N420" s="3">
        <f t="shared" ca="1" si="27"/>
        <v>59</v>
      </c>
    </row>
    <row r="421" spans="1:14" x14ac:dyDescent="0.35">
      <c r="A421" t="s">
        <v>863</v>
      </c>
      <c r="B421" t="s">
        <v>864</v>
      </c>
      <c r="C421" t="s">
        <v>17</v>
      </c>
      <c r="D421">
        <v>43</v>
      </c>
      <c r="E421" t="s">
        <v>18</v>
      </c>
      <c r="F421" t="s">
        <v>19</v>
      </c>
      <c r="G421" s="2">
        <v>55046</v>
      </c>
      <c r="H421" t="s">
        <v>14</v>
      </c>
      <c r="I421" s="1">
        <v>44313</v>
      </c>
      <c r="J421" t="str">
        <f t="shared" si="24"/>
        <v>Millennials</v>
      </c>
      <c r="K421" t="str" cm="1">
        <f t="array" ref="K421">_xlfn.IFS(G421&lt;=50000,"Low",G421&lt;=100000,"Medium",G421&lt;=150000,"High",G421&gt;=150001,"Premium")</f>
        <v>Medium</v>
      </c>
      <c r="L421" s="3">
        <f t="shared" ca="1" si="25"/>
        <v>4</v>
      </c>
      <c r="M421" t="str">
        <f t="shared" ca="1" si="26"/>
        <v>3-5yrs</v>
      </c>
      <c r="N421" s="3">
        <f t="shared" ca="1" si="27"/>
        <v>273</v>
      </c>
    </row>
    <row r="422" spans="1:14" x14ac:dyDescent="0.35">
      <c r="A422" t="s">
        <v>865</v>
      </c>
      <c r="B422" t="s">
        <v>866</v>
      </c>
      <c r="C422" t="s">
        <v>17</v>
      </c>
      <c r="D422">
        <v>25</v>
      </c>
      <c r="E422" t="s">
        <v>18</v>
      </c>
      <c r="F422" t="s">
        <v>42</v>
      </c>
      <c r="G422" s="2">
        <v>198136</v>
      </c>
      <c r="H422" t="s">
        <v>20</v>
      </c>
      <c r="I422" s="1">
        <v>42565</v>
      </c>
      <c r="J422" t="str">
        <f t="shared" si="24"/>
        <v>Gen Z</v>
      </c>
      <c r="K422" t="str" cm="1">
        <f t="array" ref="K422">_xlfn.IFS(G422&lt;=50000,"Low",G422&lt;=100000,"Medium",G422&lt;=150000,"High",G422&gt;=150001,"Premium")</f>
        <v>Premium</v>
      </c>
      <c r="L422" s="3">
        <f t="shared" ca="1" si="25"/>
        <v>9</v>
      </c>
      <c r="M422" t="str">
        <f t="shared" ca="1" si="26"/>
        <v>5yrs +</v>
      </c>
      <c r="N422" s="3">
        <f t="shared" ca="1" si="27"/>
        <v>17</v>
      </c>
    </row>
    <row r="423" spans="1:14" x14ac:dyDescent="0.35">
      <c r="A423" t="s">
        <v>867</v>
      </c>
      <c r="B423" t="s">
        <v>868</v>
      </c>
      <c r="C423" t="s">
        <v>17</v>
      </c>
      <c r="D423">
        <v>67</v>
      </c>
      <c r="E423" t="s">
        <v>18</v>
      </c>
      <c r="F423" t="s">
        <v>13</v>
      </c>
      <c r="G423" s="2">
        <v>121459</v>
      </c>
      <c r="H423" t="s">
        <v>20</v>
      </c>
      <c r="I423" s="1">
        <v>44523</v>
      </c>
      <c r="J423" t="str">
        <f t="shared" si="24"/>
        <v>Boomers</v>
      </c>
      <c r="K423" t="str" cm="1">
        <f t="array" ref="K423">_xlfn.IFS(G423&lt;=50000,"Low",G423&lt;=100000,"Medium",G423&lt;=150000,"High",G423&gt;=150001,"Premium")</f>
        <v>High</v>
      </c>
      <c r="L423" s="3">
        <f t="shared" ca="1" si="25"/>
        <v>4</v>
      </c>
      <c r="M423" t="str">
        <f t="shared" ca="1" si="26"/>
        <v>3-5yrs</v>
      </c>
      <c r="N423" s="3">
        <f t="shared" ca="1" si="27"/>
        <v>273</v>
      </c>
    </row>
    <row r="424" spans="1:14" x14ac:dyDescent="0.35">
      <c r="A424" t="s">
        <v>869</v>
      </c>
      <c r="B424" t="s">
        <v>870</v>
      </c>
      <c r="C424" t="s">
        <v>17</v>
      </c>
      <c r="D424">
        <v>45</v>
      </c>
      <c r="E424" t="s">
        <v>34</v>
      </c>
      <c r="F424" t="s">
        <v>23</v>
      </c>
      <c r="G424" s="2">
        <v>65893</v>
      </c>
      <c r="H424" t="s">
        <v>20</v>
      </c>
      <c r="I424" s="1">
        <v>44513</v>
      </c>
      <c r="J424" t="str">
        <f t="shared" si="24"/>
        <v>Gen X</v>
      </c>
      <c r="K424" t="str" cm="1">
        <f t="array" ref="K424">_xlfn.IFS(G424&lt;=50000,"Low",G424&lt;=100000,"Medium",G424&lt;=150000,"High",G424&gt;=150001,"Premium")</f>
        <v>Medium</v>
      </c>
      <c r="L424" s="3">
        <f t="shared" ca="1" si="25"/>
        <v>4</v>
      </c>
      <c r="M424" t="str">
        <f t="shared" ca="1" si="26"/>
        <v>3-5yrs</v>
      </c>
      <c r="N424" s="3">
        <f t="shared" ca="1" si="27"/>
        <v>273</v>
      </c>
    </row>
    <row r="425" spans="1:14" x14ac:dyDescent="0.35">
      <c r="A425" t="s">
        <v>871</v>
      </c>
      <c r="B425" t="s">
        <v>870</v>
      </c>
      <c r="C425" t="s">
        <v>11</v>
      </c>
      <c r="D425">
        <v>45</v>
      </c>
      <c r="E425" t="s">
        <v>34</v>
      </c>
      <c r="F425" t="s">
        <v>13</v>
      </c>
      <c r="G425" s="2">
        <v>121520</v>
      </c>
      <c r="H425" t="s">
        <v>20</v>
      </c>
      <c r="I425" s="1">
        <v>44111</v>
      </c>
      <c r="J425" t="str">
        <f t="shared" si="24"/>
        <v>Gen X</v>
      </c>
      <c r="K425" t="str" cm="1">
        <f t="array" ref="K425">_xlfn.IFS(G425&lt;=50000,"Low",G425&lt;=100000,"Medium",G425&lt;=150000,"High",G425&gt;=150001,"Premium")</f>
        <v>High</v>
      </c>
      <c r="L425" s="3">
        <f t="shared" ca="1" si="25"/>
        <v>5</v>
      </c>
      <c r="M425" t="str">
        <f t="shared" ca="1" si="26"/>
        <v>5yrs +</v>
      </c>
      <c r="N425" s="3">
        <f t="shared" ca="1" si="27"/>
        <v>227</v>
      </c>
    </row>
    <row r="426" spans="1:14" x14ac:dyDescent="0.35">
      <c r="A426" t="s">
        <v>872</v>
      </c>
      <c r="B426" t="s">
        <v>873</v>
      </c>
      <c r="C426" t="s">
        <v>17</v>
      </c>
      <c r="D426">
        <v>54</v>
      </c>
      <c r="E426" t="s">
        <v>18</v>
      </c>
      <c r="F426" t="s">
        <v>23</v>
      </c>
      <c r="G426" s="2">
        <v>145818</v>
      </c>
      <c r="H426" t="s">
        <v>14</v>
      </c>
      <c r="I426" s="1">
        <v>42917</v>
      </c>
      <c r="J426" t="str">
        <f t="shared" si="24"/>
        <v>Gen X</v>
      </c>
      <c r="K426" t="str" cm="1">
        <f t="array" ref="K426">_xlfn.IFS(G426&lt;=50000,"Low",G426&lt;=100000,"Medium",G426&lt;=150000,"High",G426&gt;=150001,"Premium")</f>
        <v>High</v>
      </c>
      <c r="L426" s="3">
        <f t="shared" ca="1" si="25"/>
        <v>8</v>
      </c>
      <c r="M426" t="str">
        <f t="shared" ca="1" si="26"/>
        <v>5yrs +</v>
      </c>
      <c r="N426" s="3">
        <f t="shared" ca="1" si="27"/>
        <v>59</v>
      </c>
    </row>
    <row r="427" spans="1:14" x14ac:dyDescent="0.35">
      <c r="A427" t="s">
        <v>874</v>
      </c>
      <c r="B427" t="s">
        <v>875</v>
      </c>
      <c r="C427" t="s">
        <v>11</v>
      </c>
      <c r="D427">
        <v>58</v>
      </c>
      <c r="E427" t="s">
        <v>18</v>
      </c>
      <c r="F427" t="s">
        <v>42</v>
      </c>
      <c r="G427" s="2">
        <v>81272</v>
      </c>
      <c r="H427" t="s">
        <v>14</v>
      </c>
      <c r="I427" s="1">
        <v>42747</v>
      </c>
      <c r="J427" t="str">
        <f t="shared" si="24"/>
        <v>Gen X</v>
      </c>
      <c r="K427" t="str" cm="1">
        <f t="array" ref="K427">_xlfn.IFS(G427&lt;=50000,"Low",G427&lt;=100000,"Medium",G427&lt;=150000,"High",G427&gt;=150001,"Premium")</f>
        <v>Medium</v>
      </c>
      <c r="L427" s="3">
        <f t="shared" ca="1" si="25"/>
        <v>8</v>
      </c>
      <c r="M427" t="str">
        <f t="shared" ca="1" si="26"/>
        <v>5yrs +</v>
      </c>
      <c r="N427" s="3">
        <f t="shared" ca="1" si="27"/>
        <v>59</v>
      </c>
    </row>
    <row r="428" spans="1:14" x14ac:dyDescent="0.35">
      <c r="A428" t="s">
        <v>876</v>
      </c>
      <c r="B428" t="s">
        <v>877</v>
      </c>
      <c r="C428" t="s">
        <v>11</v>
      </c>
      <c r="D428">
        <v>53</v>
      </c>
      <c r="E428" t="s">
        <v>18</v>
      </c>
      <c r="F428" t="s">
        <v>37</v>
      </c>
      <c r="G428" s="2">
        <v>87649</v>
      </c>
      <c r="H428" t="s">
        <v>24</v>
      </c>
      <c r="I428" s="1">
        <v>45052</v>
      </c>
      <c r="J428" t="str">
        <f t="shared" si="24"/>
        <v>Gen X</v>
      </c>
      <c r="K428" t="str" cm="1">
        <f t="array" ref="K428">_xlfn.IFS(G428&lt;=50000,"Low",G428&lt;=100000,"Medium",G428&lt;=150000,"High",G428&gt;=150001,"Premium")</f>
        <v>Medium</v>
      </c>
      <c r="L428" s="3">
        <f t="shared" ca="1" si="25"/>
        <v>2</v>
      </c>
      <c r="M428" t="str">
        <f t="shared" ca="1" si="26"/>
        <v>1-3yrs</v>
      </c>
      <c r="N428" s="3">
        <f t="shared" ca="1" si="27"/>
        <v>367</v>
      </c>
    </row>
    <row r="429" spans="1:14" x14ac:dyDescent="0.35">
      <c r="A429" t="s">
        <v>878</v>
      </c>
      <c r="B429" t="s">
        <v>879</v>
      </c>
      <c r="C429" t="s">
        <v>17</v>
      </c>
      <c r="D429">
        <v>44</v>
      </c>
      <c r="E429" t="s">
        <v>30</v>
      </c>
      <c r="F429" t="s">
        <v>31</v>
      </c>
      <c r="G429" s="2">
        <v>84674</v>
      </c>
      <c r="H429" t="s">
        <v>24</v>
      </c>
      <c r="I429" s="1">
        <v>43617</v>
      </c>
      <c r="J429" t="str">
        <f t="shared" si="24"/>
        <v>Millennials</v>
      </c>
      <c r="K429" t="str" cm="1">
        <f t="array" ref="K429">_xlfn.IFS(G429&lt;=50000,"Low",G429&lt;=100000,"Medium",G429&lt;=150000,"High",G429&gt;=150001,"Premium")</f>
        <v>Medium</v>
      </c>
      <c r="L429" s="3">
        <f t="shared" ca="1" si="25"/>
        <v>6</v>
      </c>
      <c r="M429" t="str">
        <f t="shared" ca="1" si="26"/>
        <v>5yrs +</v>
      </c>
      <c r="N429" s="3">
        <f t="shared" ca="1" si="27"/>
        <v>169</v>
      </c>
    </row>
    <row r="430" spans="1:14" x14ac:dyDescent="0.35">
      <c r="A430" t="s">
        <v>880</v>
      </c>
      <c r="B430" t="s">
        <v>881</v>
      </c>
      <c r="C430" t="s">
        <v>11</v>
      </c>
      <c r="D430">
        <v>71</v>
      </c>
      <c r="E430" t="s">
        <v>34</v>
      </c>
      <c r="F430" t="s">
        <v>42</v>
      </c>
      <c r="G430" s="2">
        <v>164832</v>
      </c>
      <c r="H430" t="s">
        <v>14</v>
      </c>
      <c r="I430" s="1">
        <v>42971</v>
      </c>
      <c r="J430" t="str">
        <f t="shared" si="24"/>
        <v>Boomers</v>
      </c>
      <c r="K430" t="str" cm="1">
        <f t="array" ref="K430">_xlfn.IFS(G430&lt;=50000,"Low",G430&lt;=100000,"Medium",G430&lt;=150000,"High",G430&gt;=150001,"Premium")</f>
        <v>Premium</v>
      </c>
      <c r="L430" s="3">
        <f t="shared" ca="1" si="25"/>
        <v>8</v>
      </c>
      <c r="M430" t="str">
        <f t="shared" ca="1" si="26"/>
        <v>5yrs +</v>
      </c>
      <c r="N430" s="3">
        <f t="shared" ca="1" si="27"/>
        <v>59</v>
      </c>
    </row>
    <row r="431" spans="1:14" x14ac:dyDescent="0.35">
      <c r="A431" t="s">
        <v>882</v>
      </c>
      <c r="B431" t="s">
        <v>883</v>
      </c>
      <c r="C431" t="s">
        <v>17</v>
      </c>
      <c r="D431">
        <v>34</v>
      </c>
      <c r="E431" t="s">
        <v>30</v>
      </c>
      <c r="F431" t="s">
        <v>13</v>
      </c>
      <c r="G431" s="2">
        <v>172999</v>
      </c>
      <c r="H431" t="s">
        <v>14</v>
      </c>
      <c r="I431" s="1">
        <v>42894</v>
      </c>
      <c r="J431" t="str">
        <f t="shared" si="24"/>
        <v>Millennials</v>
      </c>
      <c r="K431" t="str" cm="1">
        <f t="array" ref="K431">_xlfn.IFS(G431&lt;=50000,"Low",G431&lt;=100000,"Medium",G431&lt;=150000,"High",G431&gt;=150001,"Premium")</f>
        <v>Premium</v>
      </c>
      <c r="L431" s="3">
        <f t="shared" ca="1" si="25"/>
        <v>8</v>
      </c>
      <c r="M431" t="str">
        <f t="shared" ca="1" si="26"/>
        <v>5yrs +</v>
      </c>
      <c r="N431" s="3">
        <f t="shared" ca="1" si="27"/>
        <v>59</v>
      </c>
    </row>
    <row r="432" spans="1:14" x14ac:dyDescent="0.35">
      <c r="A432" t="s">
        <v>884</v>
      </c>
      <c r="B432" t="s">
        <v>885</v>
      </c>
      <c r="C432" t="s">
        <v>11</v>
      </c>
      <c r="D432">
        <v>26</v>
      </c>
      <c r="E432" t="s">
        <v>30</v>
      </c>
      <c r="F432" t="s">
        <v>19</v>
      </c>
      <c r="G432" s="2">
        <v>106475</v>
      </c>
      <c r="H432" t="s">
        <v>14</v>
      </c>
      <c r="I432" s="1">
        <v>45133</v>
      </c>
      <c r="J432" t="str">
        <f t="shared" si="24"/>
        <v>Gen Z</v>
      </c>
      <c r="K432" t="str" cm="1">
        <f t="array" ref="K432">_xlfn.IFS(G432&lt;=50000,"Low",G432&lt;=100000,"Medium",G432&lt;=150000,"High",G432&gt;=150001,"Premium")</f>
        <v>High</v>
      </c>
      <c r="L432" s="3">
        <f t="shared" ca="1" si="25"/>
        <v>2</v>
      </c>
      <c r="M432" t="str">
        <f t="shared" ca="1" si="26"/>
        <v>1-3yrs</v>
      </c>
      <c r="N432" s="3">
        <f t="shared" ca="1" si="27"/>
        <v>367</v>
      </c>
    </row>
    <row r="433" spans="1:14" x14ac:dyDescent="0.35">
      <c r="A433" t="s">
        <v>886</v>
      </c>
      <c r="B433" t="s">
        <v>887</v>
      </c>
      <c r="C433" t="s">
        <v>17</v>
      </c>
      <c r="D433">
        <v>50</v>
      </c>
      <c r="E433" t="s">
        <v>18</v>
      </c>
      <c r="F433" t="s">
        <v>19</v>
      </c>
      <c r="G433" s="2">
        <v>81367</v>
      </c>
      <c r="H433" t="s">
        <v>20</v>
      </c>
      <c r="I433" s="1">
        <v>42887</v>
      </c>
      <c r="J433" t="str">
        <f t="shared" si="24"/>
        <v>Gen X</v>
      </c>
      <c r="K433" t="str" cm="1">
        <f t="array" ref="K433">_xlfn.IFS(G433&lt;=50000,"Low",G433&lt;=100000,"Medium",G433&lt;=150000,"High",G433&gt;=150001,"Premium")</f>
        <v>Medium</v>
      </c>
      <c r="L433" s="3">
        <f t="shared" ca="1" si="25"/>
        <v>8</v>
      </c>
      <c r="M433" t="str">
        <f t="shared" ca="1" si="26"/>
        <v>5yrs +</v>
      </c>
      <c r="N433" s="3">
        <f t="shared" ca="1" si="27"/>
        <v>59</v>
      </c>
    </row>
    <row r="434" spans="1:14" x14ac:dyDescent="0.35">
      <c r="A434" t="s">
        <v>888</v>
      </c>
      <c r="B434" t="s">
        <v>889</v>
      </c>
      <c r="C434" t="s">
        <v>11</v>
      </c>
      <c r="D434">
        <v>70</v>
      </c>
      <c r="E434" t="s">
        <v>18</v>
      </c>
      <c r="F434" t="s">
        <v>27</v>
      </c>
      <c r="G434" s="2">
        <v>163660</v>
      </c>
      <c r="H434" t="s">
        <v>20</v>
      </c>
      <c r="I434" s="1">
        <v>43774</v>
      </c>
      <c r="J434" t="str">
        <f t="shared" si="24"/>
        <v>Boomers</v>
      </c>
      <c r="K434" t="str" cm="1">
        <f t="array" ref="K434">_xlfn.IFS(G434&lt;=50000,"Low",G434&lt;=100000,"Medium",G434&lt;=150000,"High",G434&gt;=150001,"Premium")</f>
        <v>Premium</v>
      </c>
      <c r="L434" s="3">
        <f t="shared" ca="1" si="25"/>
        <v>6</v>
      </c>
      <c r="M434" t="str">
        <f t="shared" ca="1" si="26"/>
        <v>5yrs +</v>
      </c>
      <c r="N434" s="3">
        <f t="shared" ca="1" si="27"/>
        <v>169</v>
      </c>
    </row>
    <row r="435" spans="1:14" x14ac:dyDescent="0.35">
      <c r="A435" t="s">
        <v>890</v>
      </c>
      <c r="B435" t="s">
        <v>891</v>
      </c>
      <c r="C435" t="s">
        <v>17</v>
      </c>
      <c r="D435">
        <v>37</v>
      </c>
      <c r="E435" t="s">
        <v>12</v>
      </c>
      <c r="F435" t="s">
        <v>23</v>
      </c>
      <c r="G435" s="2">
        <v>141750</v>
      </c>
      <c r="H435" t="s">
        <v>14</v>
      </c>
      <c r="I435" s="1">
        <v>43599</v>
      </c>
      <c r="J435" t="str">
        <f t="shared" si="24"/>
        <v>Millennials</v>
      </c>
      <c r="K435" t="str" cm="1">
        <f t="array" ref="K435">_xlfn.IFS(G435&lt;=50000,"Low",G435&lt;=100000,"Medium",G435&lt;=150000,"High",G435&gt;=150001,"Premium")</f>
        <v>High</v>
      </c>
      <c r="L435" s="3">
        <f t="shared" ca="1" si="25"/>
        <v>6</v>
      </c>
      <c r="M435" t="str">
        <f t="shared" ca="1" si="26"/>
        <v>5yrs +</v>
      </c>
      <c r="N435" s="3">
        <f t="shared" ca="1" si="27"/>
        <v>169</v>
      </c>
    </row>
    <row r="436" spans="1:14" x14ac:dyDescent="0.35">
      <c r="A436" t="s">
        <v>892</v>
      </c>
      <c r="B436" t="s">
        <v>893</v>
      </c>
      <c r="C436" t="s">
        <v>17</v>
      </c>
      <c r="D436">
        <v>30</v>
      </c>
      <c r="E436" t="s">
        <v>12</v>
      </c>
      <c r="F436" t="s">
        <v>13</v>
      </c>
      <c r="G436" s="2">
        <v>138154</v>
      </c>
      <c r="H436" t="s">
        <v>14</v>
      </c>
      <c r="I436" s="1">
        <v>44896</v>
      </c>
      <c r="J436" t="str">
        <f t="shared" si="24"/>
        <v>Millennials</v>
      </c>
      <c r="K436" t="str" cm="1">
        <f t="array" ref="K436">_xlfn.IFS(G436&lt;=50000,"Low",G436&lt;=100000,"Medium",G436&lt;=150000,"High",G436&gt;=150001,"Premium")</f>
        <v>High</v>
      </c>
      <c r="L436" s="3">
        <f t="shared" ca="1" si="25"/>
        <v>2</v>
      </c>
      <c r="M436" t="str">
        <f t="shared" ca="1" si="26"/>
        <v>1-3yrs</v>
      </c>
      <c r="N436" s="3">
        <f t="shared" ca="1" si="27"/>
        <v>367</v>
      </c>
    </row>
    <row r="437" spans="1:14" x14ac:dyDescent="0.35">
      <c r="A437" t="s">
        <v>894</v>
      </c>
      <c r="B437" t="s">
        <v>895</v>
      </c>
      <c r="C437" t="s">
        <v>17</v>
      </c>
      <c r="D437">
        <v>45</v>
      </c>
      <c r="E437" t="s">
        <v>30</v>
      </c>
      <c r="F437" t="s">
        <v>27</v>
      </c>
      <c r="G437" s="2">
        <v>64738</v>
      </c>
      <c r="H437" t="s">
        <v>20</v>
      </c>
      <c r="I437" s="1">
        <v>43760</v>
      </c>
      <c r="J437" t="str">
        <f t="shared" si="24"/>
        <v>Gen X</v>
      </c>
      <c r="K437" t="str" cm="1">
        <f t="array" ref="K437">_xlfn.IFS(G437&lt;=50000,"Low",G437&lt;=100000,"Medium",G437&lt;=150000,"High",G437&gt;=150001,"Premium")</f>
        <v>Medium</v>
      </c>
      <c r="L437" s="3">
        <f t="shared" ca="1" si="25"/>
        <v>6</v>
      </c>
      <c r="M437" t="str">
        <f t="shared" ca="1" si="26"/>
        <v>5yrs +</v>
      </c>
      <c r="N437" s="3">
        <f t="shared" ca="1" si="27"/>
        <v>169</v>
      </c>
    </row>
    <row r="438" spans="1:14" x14ac:dyDescent="0.35">
      <c r="A438" t="s">
        <v>896</v>
      </c>
      <c r="B438" t="s">
        <v>897</v>
      </c>
      <c r="C438" t="s">
        <v>17</v>
      </c>
      <c r="D438">
        <v>65</v>
      </c>
      <c r="E438" t="s">
        <v>34</v>
      </c>
      <c r="F438" t="s">
        <v>13</v>
      </c>
      <c r="G438" s="2">
        <v>53397</v>
      </c>
      <c r="H438" t="s">
        <v>20</v>
      </c>
      <c r="I438" s="1">
        <v>45281</v>
      </c>
      <c r="J438" t="str">
        <f t="shared" si="24"/>
        <v>Boomers</v>
      </c>
      <c r="K438" t="str" cm="1">
        <f t="array" ref="K438">_xlfn.IFS(G438&lt;=50000,"Low",G438&lt;=100000,"Medium",G438&lt;=150000,"High",G438&gt;=150001,"Premium")</f>
        <v>Medium</v>
      </c>
      <c r="L438" s="3">
        <f t="shared" ca="1" si="25"/>
        <v>1</v>
      </c>
      <c r="M438" t="str">
        <f t="shared" ca="1" si="26"/>
        <v>1-3yrs</v>
      </c>
      <c r="N438" s="3">
        <f t="shared" ca="1" si="27"/>
        <v>422</v>
      </c>
    </row>
    <row r="439" spans="1:14" x14ac:dyDescent="0.35">
      <c r="A439" t="s">
        <v>898</v>
      </c>
      <c r="B439" t="s">
        <v>899</v>
      </c>
      <c r="C439" t="s">
        <v>17</v>
      </c>
      <c r="D439">
        <v>46</v>
      </c>
      <c r="E439" t="s">
        <v>18</v>
      </c>
      <c r="F439" t="s">
        <v>23</v>
      </c>
      <c r="G439" s="2">
        <v>102189</v>
      </c>
      <c r="H439" t="s">
        <v>14</v>
      </c>
      <c r="I439" s="1">
        <v>45037</v>
      </c>
      <c r="J439" t="str">
        <f t="shared" si="24"/>
        <v>Gen X</v>
      </c>
      <c r="K439" t="str" cm="1">
        <f t="array" ref="K439">_xlfn.IFS(G439&lt;=50000,"Low",G439&lt;=100000,"Medium",G439&lt;=150000,"High",G439&gt;=150001,"Premium")</f>
        <v>High</v>
      </c>
      <c r="L439" s="3">
        <f t="shared" ca="1" si="25"/>
        <v>2</v>
      </c>
      <c r="M439" t="str">
        <f t="shared" ca="1" si="26"/>
        <v>1-3yrs</v>
      </c>
      <c r="N439" s="3">
        <f t="shared" ca="1" si="27"/>
        <v>367</v>
      </c>
    </row>
    <row r="440" spans="1:14" x14ac:dyDescent="0.35">
      <c r="A440" t="s">
        <v>900</v>
      </c>
      <c r="B440" t="s">
        <v>901</v>
      </c>
      <c r="C440" t="s">
        <v>11</v>
      </c>
      <c r="D440">
        <v>30</v>
      </c>
      <c r="E440" t="s">
        <v>18</v>
      </c>
      <c r="F440" t="s">
        <v>42</v>
      </c>
      <c r="G440" s="2">
        <v>96367</v>
      </c>
      <c r="H440" t="s">
        <v>14</v>
      </c>
      <c r="I440" s="1">
        <v>45328</v>
      </c>
      <c r="J440" t="str">
        <f t="shared" si="24"/>
        <v>Millennials</v>
      </c>
      <c r="K440" t="str" cm="1">
        <f t="array" ref="K440">_xlfn.IFS(G440&lt;=50000,"Low",G440&lt;=100000,"Medium",G440&lt;=150000,"High",G440&gt;=150001,"Premium")</f>
        <v>Medium</v>
      </c>
      <c r="L440" s="3">
        <f t="shared" ca="1" si="25"/>
        <v>1</v>
      </c>
      <c r="M440" t="str">
        <f t="shared" ca="1" si="26"/>
        <v>1-3yrs</v>
      </c>
      <c r="N440" s="3">
        <f t="shared" ca="1" si="27"/>
        <v>422</v>
      </c>
    </row>
    <row r="441" spans="1:14" x14ac:dyDescent="0.35">
      <c r="A441" t="s">
        <v>902</v>
      </c>
      <c r="B441" t="s">
        <v>903</v>
      </c>
      <c r="C441" t="s">
        <v>11</v>
      </c>
      <c r="D441">
        <v>63</v>
      </c>
      <c r="E441" t="s">
        <v>30</v>
      </c>
      <c r="F441" t="s">
        <v>42</v>
      </c>
      <c r="G441" s="2">
        <v>140585</v>
      </c>
      <c r="H441" t="s">
        <v>14</v>
      </c>
      <c r="I441" s="1">
        <v>43274</v>
      </c>
      <c r="J441" t="str">
        <f t="shared" si="24"/>
        <v>Boomers</v>
      </c>
      <c r="K441" t="str" cm="1">
        <f t="array" ref="K441">_xlfn.IFS(G441&lt;=50000,"Low",G441&lt;=100000,"Medium",G441&lt;=150000,"High",G441&gt;=150001,"Premium")</f>
        <v>High</v>
      </c>
      <c r="L441" s="3">
        <f t="shared" ca="1" si="25"/>
        <v>7</v>
      </c>
      <c r="M441" t="str">
        <f t="shared" ca="1" si="26"/>
        <v>5yrs +</v>
      </c>
      <c r="N441" s="3">
        <f t="shared" ca="1" si="27"/>
        <v>118</v>
      </c>
    </row>
    <row r="442" spans="1:14" x14ac:dyDescent="0.35">
      <c r="A442" t="s">
        <v>904</v>
      </c>
      <c r="B442" t="s">
        <v>905</v>
      </c>
      <c r="C442" t="s">
        <v>11</v>
      </c>
      <c r="D442">
        <v>52</v>
      </c>
      <c r="E442" t="s">
        <v>12</v>
      </c>
      <c r="F442" t="s">
        <v>19</v>
      </c>
      <c r="G442" s="2">
        <v>96619</v>
      </c>
      <c r="H442" t="s">
        <v>14</v>
      </c>
      <c r="I442" s="1">
        <v>44964</v>
      </c>
      <c r="J442" t="str">
        <f t="shared" si="24"/>
        <v>Gen X</v>
      </c>
      <c r="K442" t="str" cm="1">
        <f t="array" ref="K442">_xlfn.IFS(G442&lt;=50000,"Low",G442&lt;=100000,"Medium",G442&lt;=150000,"High",G442&gt;=150001,"Premium")</f>
        <v>Medium</v>
      </c>
      <c r="L442" s="3">
        <f t="shared" ca="1" si="25"/>
        <v>2</v>
      </c>
      <c r="M442" t="str">
        <f t="shared" ca="1" si="26"/>
        <v>1-3yrs</v>
      </c>
      <c r="N442" s="3">
        <f t="shared" ca="1" si="27"/>
        <v>367</v>
      </c>
    </row>
    <row r="443" spans="1:14" x14ac:dyDescent="0.35">
      <c r="A443" t="s">
        <v>906</v>
      </c>
      <c r="B443" t="s">
        <v>907</v>
      </c>
      <c r="C443" t="s">
        <v>17</v>
      </c>
      <c r="D443">
        <v>23</v>
      </c>
      <c r="E443" t="s">
        <v>34</v>
      </c>
      <c r="F443" t="s">
        <v>42</v>
      </c>
      <c r="G443" s="2">
        <v>131453</v>
      </c>
      <c r="H443" t="s">
        <v>14</v>
      </c>
      <c r="I443" s="1">
        <v>44692</v>
      </c>
      <c r="J443" t="str">
        <f t="shared" si="24"/>
        <v>Gen Z</v>
      </c>
      <c r="K443" t="str" cm="1">
        <f t="array" ref="K443">_xlfn.IFS(G443&lt;=50000,"Low",G443&lt;=100000,"Medium",G443&lt;=150000,"High",G443&gt;=150001,"Premium")</f>
        <v>High</v>
      </c>
      <c r="L443" s="3">
        <f t="shared" ca="1" si="25"/>
        <v>3</v>
      </c>
      <c r="M443" t="str">
        <f t="shared" ca="1" si="26"/>
        <v>3-5yrs</v>
      </c>
      <c r="N443" s="3">
        <f t="shared" ca="1" si="27"/>
        <v>319</v>
      </c>
    </row>
    <row r="444" spans="1:14" x14ac:dyDescent="0.35">
      <c r="A444" t="s">
        <v>908</v>
      </c>
      <c r="B444" t="s">
        <v>909</v>
      </c>
      <c r="C444" t="s">
        <v>11</v>
      </c>
      <c r="D444">
        <v>35</v>
      </c>
      <c r="E444" t="s">
        <v>12</v>
      </c>
      <c r="F444" t="s">
        <v>42</v>
      </c>
      <c r="G444" s="2">
        <v>39816</v>
      </c>
      <c r="H444" t="s">
        <v>20</v>
      </c>
      <c r="I444" s="1">
        <v>43285</v>
      </c>
      <c r="J444" t="str">
        <f t="shared" si="24"/>
        <v>Millennials</v>
      </c>
      <c r="K444" t="str" cm="1">
        <f t="array" ref="K444">_xlfn.IFS(G444&lt;=50000,"Low",G444&lt;=100000,"Medium",G444&lt;=150000,"High",G444&gt;=150001,"Premium")</f>
        <v>Low</v>
      </c>
      <c r="L444" s="3">
        <f t="shared" ca="1" si="25"/>
        <v>7</v>
      </c>
      <c r="M444" t="str">
        <f t="shared" ca="1" si="26"/>
        <v>5yrs +</v>
      </c>
      <c r="N444" s="3">
        <f t="shared" ca="1" si="27"/>
        <v>118</v>
      </c>
    </row>
    <row r="445" spans="1:14" x14ac:dyDescent="0.35">
      <c r="A445" t="s">
        <v>910</v>
      </c>
      <c r="B445" t="s">
        <v>911</v>
      </c>
      <c r="C445" t="s">
        <v>17</v>
      </c>
      <c r="D445">
        <v>68</v>
      </c>
      <c r="E445" t="s">
        <v>12</v>
      </c>
      <c r="F445" t="s">
        <v>37</v>
      </c>
      <c r="G445" s="2">
        <v>193312</v>
      </c>
      <c r="H445" t="s">
        <v>20</v>
      </c>
      <c r="I445" s="1">
        <v>43074</v>
      </c>
      <c r="J445" t="str">
        <f t="shared" si="24"/>
        <v>Boomers</v>
      </c>
      <c r="K445" t="str" cm="1">
        <f t="array" ref="K445">_xlfn.IFS(G445&lt;=50000,"Low",G445&lt;=100000,"Medium",G445&lt;=150000,"High",G445&gt;=150001,"Premium")</f>
        <v>Premium</v>
      </c>
      <c r="L445" s="3">
        <f t="shared" ca="1" si="25"/>
        <v>7</v>
      </c>
      <c r="M445" t="str">
        <f t="shared" ca="1" si="26"/>
        <v>5yrs +</v>
      </c>
      <c r="N445" s="3">
        <f t="shared" ca="1" si="27"/>
        <v>118</v>
      </c>
    </row>
    <row r="446" spans="1:14" x14ac:dyDescent="0.35">
      <c r="A446" t="s">
        <v>912</v>
      </c>
      <c r="B446" t="s">
        <v>913</v>
      </c>
      <c r="C446" t="s">
        <v>17</v>
      </c>
      <c r="D446">
        <v>22</v>
      </c>
      <c r="E446" t="s">
        <v>12</v>
      </c>
      <c r="F446" t="s">
        <v>19</v>
      </c>
      <c r="G446" s="2">
        <v>157348</v>
      </c>
      <c r="H446" t="s">
        <v>20</v>
      </c>
      <c r="I446" s="1">
        <v>44666</v>
      </c>
      <c r="J446" t="str">
        <f t="shared" si="24"/>
        <v>Gen Z</v>
      </c>
      <c r="K446" t="str" cm="1">
        <f t="array" ref="K446">_xlfn.IFS(G446&lt;=50000,"Low",G446&lt;=100000,"Medium",G446&lt;=150000,"High",G446&gt;=150001,"Premium")</f>
        <v>Premium</v>
      </c>
      <c r="L446" s="3">
        <f t="shared" ca="1" si="25"/>
        <v>3</v>
      </c>
      <c r="M446" t="str">
        <f t="shared" ca="1" si="26"/>
        <v>3-5yrs</v>
      </c>
      <c r="N446" s="3">
        <f t="shared" ca="1" si="27"/>
        <v>319</v>
      </c>
    </row>
    <row r="447" spans="1:14" x14ac:dyDescent="0.35">
      <c r="A447" t="s">
        <v>914</v>
      </c>
      <c r="B447" t="s">
        <v>915</v>
      </c>
      <c r="C447" t="s">
        <v>11</v>
      </c>
      <c r="D447">
        <v>64</v>
      </c>
      <c r="E447" t="s">
        <v>12</v>
      </c>
      <c r="F447" t="s">
        <v>27</v>
      </c>
      <c r="G447" s="2">
        <v>99530</v>
      </c>
      <c r="H447" t="s">
        <v>20</v>
      </c>
      <c r="I447" s="1">
        <v>44459</v>
      </c>
      <c r="J447" t="str">
        <f t="shared" si="24"/>
        <v>Boomers</v>
      </c>
      <c r="K447" t="str" cm="1">
        <f t="array" ref="K447">_xlfn.IFS(G447&lt;=50000,"Low",G447&lt;=100000,"Medium",G447&lt;=150000,"High",G447&gt;=150001,"Premium")</f>
        <v>Medium</v>
      </c>
      <c r="L447" s="3">
        <f t="shared" ca="1" si="25"/>
        <v>4</v>
      </c>
      <c r="M447" t="str">
        <f t="shared" ca="1" si="26"/>
        <v>3-5yrs</v>
      </c>
      <c r="N447" s="3">
        <f t="shared" ca="1" si="27"/>
        <v>273</v>
      </c>
    </row>
    <row r="448" spans="1:14" x14ac:dyDescent="0.35">
      <c r="A448" t="s">
        <v>916</v>
      </c>
      <c r="B448" t="s">
        <v>917</v>
      </c>
      <c r="C448" t="s">
        <v>11</v>
      </c>
      <c r="D448">
        <v>42</v>
      </c>
      <c r="E448" t="s">
        <v>18</v>
      </c>
      <c r="F448" t="s">
        <v>31</v>
      </c>
      <c r="G448" s="2">
        <v>174571</v>
      </c>
      <c r="H448" t="s">
        <v>14</v>
      </c>
      <c r="I448" s="1">
        <v>44994</v>
      </c>
      <c r="J448" t="str">
        <f t="shared" si="24"/>
        <v>Millennials</v>
      </c>
      <c r="K448" t="str" cm="1">
        <f t="array" ref="K448">_xlfn.IFS(G448&lt;=50000,"Low",G448&lt;=100000,"Medium",G448&lt;=150000,"High",G448&gt;=150001,"Premium")</f>
        <v>Premium</v>
      </c>
      <c r="L448" s="3">
        <f t="shared" ca="1" si="25"/>
        <v>2</v>
      </c>
      <c r="M448" t="str">
        <f t="shared" ca="1" si="26"/>
        <v>1-3yrs</v>
      </c>
      <c r="N448" s="3">
        <f t="shared" ca="1" si="27"/>
        <v>367</v>
      </c>
    </row>
    <row r="449" spans="1:14" x14ac:dyDescent="0.35">
      <c r="A449" t="s">
        <v>918</v>
      </c>
      <c r="B449" t="s">
        <v>919</v>
      </c>
      <c r="C449" t="s">
        <v>17</v>
      </c>
      <c r="D449">
        <v>19</v>
      </c>
      <c r="E449" t="s">
        <v>18</v>
      </c>
      <c r="F449" t="s">
        <v>37</v>
      </c>
      <c r="G449" s="2">
        <v>128856</v>
      </c>
      <c r="H449" t="s">
        <v>14</v>
      </c>
      <c r="I449" s="1">
        <v>44493</v>
      </c>
      <c r="J449" t="str">
        <f t="shared" si="24"/>
        <v>Gen Z</v>
      </c>
      <c r="K449" t="str" cm="1">
        <f t="array" ref="K449">_xlfn.IFS(G449&lt;=50000,"Low",G449&lt;=100000,"Medium",G449&lt;=150000,"High",G449&gt;=150001,"Premium")</f>
        <v>High</v>
      </c>
      <c r="L449" s="3">
        <f t="shared" ca="1" si="25"/>
        <v>4</v>
      </c>
      <c r="M449" t="str">
        <f t="shared" ca="1" si="26"/>
        <v>3-5yrs</v>
      </c>
      <c r="N449" s="3">
        <f t="shared" ca="1" si="27"/>
        <v>273</v>
      </c>
    </row>
    <row r="450" spans="1:14" x14ac:dyDescent="0.35">
      <c r="A450" t="s">
        <v>920</v>
      </c>
      <c r="B450" t="s">
        <v>921</v>
      </c>
      <c r="C450" t="s">
        <v>11</v>
      </c>
      <c r="D450">
        <v>27</v>
      </c>
      <c r="E450" t="s">
        <v>12</v>
      </c>
      <c r="F450" t="s">
        <v>27</v>
      </c>
      <c r="G450" s="2">
        <v>91635</v>
      </c>
      <c r="H450" t="s">
        <v>14</v>
      </c>
      <c r="I450" s="1">
        <v>44032</v>
      </c>
      <c r="J450" t="str">
        <f t="shared" ref="J450:J501" si="28">IF(D450&lt;=28, "Gen Z",IF(D450&lt;=44,"Millennials",IF(D450&lt;=60, "Gen X","Boomers")))</f>
        <v>Gen Z</v>
      </c>
      <c r="K450" t="str" cm="1">
        <f t="array" ref="K450">_xlfn.IFS(G450&lt;=50000,"Low",G450&lt;=100000,"Medium",G450&lt;=150000,"High",G450&gt;=150001,"Premium")</f>
        <v>Medium</v>
      </c>
      <c r="L450" s="3">
        <f t="shared" ref="L450:L501" ca="1" si="29">YEAR(TODAY())-YEAR(I450)-(DATE(YEAR(TODAY()),MONTH(I450),DAY(I450))&gt;TODAY())</f>
        <v>5</v>
      </c>
      <c r="M450" t="str">
        <f t="shared" ref="M450:M501" ca="1" si="30">IF(L450&lt;1,"0-1yr",IF(L450&lt;3,"1-3yrs",IF(L450&lt;5,"3-5yrs","5yrs +")))</f>
        <v>5yrs +</v>
      </c>
      <c r="N450" s="3">
        <f t="shared" ref="N450:N501" ca="1" si="31">COUNTIFS($L$2:$L$501,"&gt;"&amp;L450)+1</f>
        <v>227</v>
      </c>
    </row>
    <row r="451" spans="1:14" x14ac:dyDescent="0.35">
      <c r="A451" t="s">
        <v>922</v>
      </c>
      <c r="B451" t="s">
        <v>923</v>
      </c>
      <c r="C451" t="s">
        <v>17</v>
      </c>
      <c r="D451">
        <v>73</v>
      </c>
      <c r="E451" t="s">
        <v>34</v>
      </c>
      <c r="F451" t="s">
        <v>23</v>
      </c>
      <c r="G451" s="2">
        <v>127803</v>
      </c>
      <c r="H451" t="s">
        <v>14</v>
      </c>
      <c r="I451" s="1">
        <v>45486</v>
      </c>
      <c r="J451" t="str">
        <f t="shared" si="28"/>
        <v>Boomers</v>
      </c>
      <c r="K451" t="str" cm="1">
        <f t="array" ref="K451">_xlfn.IFS(G451&lt;=50000,"Low",G451&lt;=100000,"Medium",G451&lt;=150000,"High",G451&gt;=150001,"Premium")</f>
        <v>High</v>
      </c>
      <c r="L451" s="3">
        <f t="shared" ca="1" si="29"/>
        <v>1</v>
      </c>
      <c r="M451" t="str">
        <f t="shared" ca="1" si="30"/>
        <v>1-3yrs</v>
      </c>
      <c r="N451" s="3">
        <f t="shared" ca="1" si="31"/>
        <v>422</v>
      </c>
    </row>
    <row r="452" spans="1:14" x14ac:dyDescent="0.35">
      <c r="A452" t="s">
        <v>924</v>
      </c>
      <c r="B452" t="s">
        <v>925</v>
      </c>
      <c r="C452" t="s">
        <v>17</v>
      </c>
      <c r="D452">
        <v>47</v>
      </c>
      <c r="E452" t="s">
        <v>30</v>
      </c>
      <c r="F452" t="s">
        <v>37</v>
      </c>
      <c r="G452" s="2">
        <v>55946</v>
      </c>
      <c r="H452" t="s">
        <v>20</v>
      </c>
      <c r="I452" s="1">
        <v>42580</v>
      </c>
      <c r="J452" t="str">
        <f t="shared" si="28"/>
        <v>Gen X</v>
      </c>
      <c r="K452" t="str" cm="1">
        <f t="array" ref="K452">_xlfn.IFS(G452&lt;=50000,"Low",G452&lt;=100000,"Medium",G452&lt;=150000,"High",G452&gt;=150001,"Premium")</f>
        <v>Medium</v>
      </c>
      <c r="L452" s="3">
        <f t="shared" ca="1" si="29"/>
        <v>9</v>
      </c>
      <c r="M452" t="str">
        <f t="shared" ca="1" si="30"/>
        <v>5yrs +</v>
      </c>
      <c r="N452" s="3">
        <f t="shared" ca="1" si="31"/>
        <v>17</v>
      </c>
    </row>
    <row r="453" spans="1:14" x14ac:dyDescent="0.35">
      <c r="A453" t="s">
        <v>926</v>
      </c>
      <c r="B453" t="s">
        <v>927</v>
      </c>
      <c r="C453" t="s">
        <v>17</v>
      </c>
      <c r="D453">
        <v>67</v>
      </c>
      <c r="E453" t="s">
        <v>34</v>
      </c>
      <c r="F453" t="s">
        <v>27</v>
      </c>
      <c r="G453" s="2">
        <v>75204</v>
      </c>
      <c r="H453" t="s">
        <v>24</v>
      </c>
      <c r="I453" s="1">
        <v>45412</v>
      </c>
      <c r="J453" t="str">
        <f t="shared" si="28"/>
        <v>Boomers</v>
      </c>
      <c r="K453" t="str" cm="1">
        <f t="array" ref="K453">_xlfn.IFS(G453&lt;=50000,"Low",G453&lt;=100000,"Medium",G453&lt;=150000,"High",G453&gt;=150001,"Premium")</f>
        <v>Medium</v>
      </c>
      <c r="L453" s="3">
        <f t="shared" ca="1" si="29"/>
        <v>1</v>
      </c>
      <c r="M453" t="str">
        <f t="shared" ca="1" si="30"/>
        <v>1-3yrs</v>
      </c>
      <c r="N453" s="3">
        <f t="shared" ca="1" si="31"/>
        <v>422</v>
      </c>
    </row>
    <row r="454" spans="1:14" x14ac:dyDescent="0.35">
      <c r="A454" t="s">
        <v>928</v>
      </c>
      <c r="B454" t="s">
        <v>929</v>
      </c>
      <c r="C454" t="s">
        <v>17</v>
      </c>
      <c r="D454">
        <v>62</v>
      </c>
      <c r="E454" t="s">
        <v>34</v>
      </c>
      <c r="F454" t="s">
        <v>23</v>
      </c>
      <c r="G454" s="2">
        <v>35563</v>
      </c>
      <c r="H454" t="s">
        <v>14</v>
      </c>
      <c r="I454" s="1">
        <v>43669</v>
      </c>
      <c r="J454" t="str">
        <f t="shared" si="28"/>
        <v>Boomers</v>
      </c>
      <c r="K454" t="str" cm="1">
        <f t="array" ref="K454">_xlfn.IFS(G454&lt;=50000,"Low",G454&lt;=100000,"Medium",G454&lt;=150000,"High",G454&gt;=150001,"Premium")</f>
        <v>Low</v>
      </c>
      <c r="L454" s="3">
        <f t="shared" ca="1" si="29"/>
        <v>6</v>
      </c>
      <c r="M454" t="str">
        <f t="shared" ca="1" si="30"/>
        <v>5yrs +</v>
      </c>
      <c r="N454" s="3">
        <f t="shared" ca="1" si="31"/>
        <v>169</v>
      </c>
    </row>
    <row r="455" spans="1:14" x14ac:dyDescent="0.35">
      <c r="A455" t="s">
        <v>930</v>
      </c>
      <c r="B455" t="s">
        <v>931</v>
      </c>
      <c r="C455" t="s">
        <v>17</v>
      </c>
      <c r="D455">
        <v>22</v>
      </c>
      <c r="E455" t="s">
        <v>34</v>
      </c>
      <c r="F455" t="s">
        <v>19</v>
      </c>
      <c r="G455" s="2">
        <v>112324</v>
      </c>
      <c r="H455" t="s">
        <v>14</v>
      </c>
      <c r="I455" s="1">
        <v>43074</v>
      </c>
      <c r="J455" t="str">
        <f t="shared" si="28"/>
        <v>Gen Z</v>
      </c>
      <c r="K455" t="str" cm="1">
        <f t="array" ref="K455">_xlfn.IFS(G455&lt;=50000,"Low",G455&lt;=100000,"Medium",G455&lt;=150000,"High",G455&gt;=150001,"Premium")</f>
        <v>High</v>
      </c>
      <c r="L455" s="3">
        <f t="shared" ca="1" si="29"/>
        <v>7</v>
      </c>
      <c r="M455" t="str">
        <f t="shared" ca="1" si="30"/>
        <v>5yrs +</v>
      </c>
      <c r="N455" s="3">
        <f t="shared" ca="1" si="31"/>
        <v>118</v>
      </c>
    </row>
    <row r="456" spans="1:14" x14ac:dyDescent="0.35">
      <c r="A456" t="s">
        <v>932</v>
      </c>
      <c r="B456" t="s">
        <v>933</v>
      </c>
      <c r="C456" t="s">
        <v>11</v>
      </c>
      <c r="D456">
        <v>72</v>
      </c>
      <c r="E456" t="s">
        <v>12</v>
      </c>
      <c r="F456" t="s">
        <v>31</v>
      </c>
      <c r="G456" s="2">
        <v>29847</v>
      </c>
      <c r="H456" t="s">
        <v>20</v>
      </c>
      <c r="I456" s="1">
        <v>44557</v>
      </c>
      <c r="J456" t="str">
        <f t="shared" si="28"/>
        <v>Boomers</v>
      </c>
      <c r="K456" t="str" cm="1">
        <f t="array" ref="K456">_xlfn.IFS(G456&lt;=50000,"Low",G456&lt;=100000,"Medium",G456&lt;=150000,"High",G456&gt;=150001,"Premium")</f>
        <v>Low</v>
      </c>
      <c r="L456" s="3">
        <f t="shared" ca="1" si="29"/>
        <v>3</v>
      </c>
      <c r="M456" t="str">
        <f t="shared" ca="1" si="30"/>
        <v>3-5yrs</v>
      </c>
      <c r="N456" s="3">
        <f t="shared" ca="1" si="31"/>
        <v>319</v>
      </c>
    </row>
    <row r="457" spans="1:14" x14ac:dyDescent="0.35">
      <c r="A457" t="s">
        <v>934</v>
      </c>
      <c r="B457" t="s">
        <v>935</v>
      </c>
      <c r="C457" t="s">
        <v>11</v>
      </c>
      <c r="D457">
        <v>73</v>
      </c>
      <c r="E457" t="s">
        <v>18</v>
      </c>
      <c r="F457" t="s">
        <v>23</v>
      </c>
      <c r="G457" s="2">
        <v>46155</v>
      </c>
      <c r="H457" t="s">
        <v>14</v>
      </c>
      <c r="I457" s="1">
        <v>42386</v>
      </c>
      <c r="J457" t="str">
        <f t="shared" si="28"/>
        <v>Boomers</v>
      </c>
      <c r="K457" t="str" cm="1">
        <f t="array" ref="K457">_xlfn.IFS(G457&lt;=50000,"Low",G457&lt;=100000,"Medium",G457&lt;=150000,"High",G457&gt;=150001,"Premium")</f>
        <v>Low</v>
      </c>
      <c r="L457" s="3">
        <f t="shared" ca="1" si="29"/>
        <v>9</v>
      </c>
      <c r="M457" t="str">
        <f t="shared" ca="1" si="30"/>
        <v>5yrs +</v>
      </c>
      <c r="N457" s="3">
        <f t="shared" ca="1" si="31"/>
        <v>17</v>
      </c>
    </row>
    <row r="458" spans="1:14" x14ac:dyDescent="0.35">
      <c r="A458" t="s">
        <v>936</v>
      </c>
      <c r="B458" t="s">
        <v>937</v>
      </c>
      <c r="C458" t="s">
        <v>17</v>
      </c>
      <c r="D458">
        <v>50</v>
      </c>
      <c r="E458" t="s">
        <v>34</v>
      </c>
      <c r="F458" t="s">
        <v>42</v>
      </c>
      <c r="G458" s="2">
        <v>99671</v>
      </c>
      <c r="H458" t="s">
        <v>14</v>
      </c>
      <c r="I458" s="1">
        <v>42416</v>
      </c>
      <c r="J458" t="str">
        <f t="shared" si="28"/>
        <v>Gen X</v>
      </c>
      <c r="K458" t="str" cm="1">
        <f t="array" ref="K458">_xlfn.IFS(G458&lt;=50000,"Low",G458&lt;=100000,"Medium",G458&lt;=150000,"High",G458&gt;=150001,"Premium")</f>
        <v>Medium</v>
      </c>
      <c r="L458" s="3">
        <f t="shared" ca="1" si="29"/>
        <v>9</v>
      </c>
      <c r="M458" t="str">
        <f t="shared" ca="1" si="30"/>
        <v>5yrs +</v>
      </c>
      <c r="N458" s="3">
        <f t="shared" ca="1" si="31"/>
        <v>17</v>
      </c>
    </row>
    <row r="459" spans="1:14" x14ac:dyDescent="0.35">
      <c r="A459" t="s">
        <v>938</v>
      </c>
      <c r="B459" t="s">
        <v>939</v>
      </c>
      <c r="C459" t="s">
        <v>17</v>
      </c>
      <c r="D459">
        <v>71</v>
      </c>
      <c r="E459" t="s">
        <v>12</v>
      </c>
      <c r="F459" t="s">
        <v>13</v>
      </c>
      <c r="G459" s="2">
        <v>136891</v>
      </c>
      <c r="H459" t="s">
        <v>20</v>
      </c>
      <c r="I459" s="1">
        <v>45469</v>
      </c>
      <c r="J459" t="str">
        <f t="shared" si="28"/>
        <v>Boomers</v>
      </c>
      <c r="K459" t="str" cm="1">
        <f t="array" ref="K459">_xlfn.IFS(G459&lt;=50000,"Low",G459&lt;=100000,"Medium",G459&lt;=150000,"High",G459&gt;=150001,"Premium")</f>
        <v>High</v>
      </c>
      <c r="L459" s="3">
        <f t="shared" ca="1" si="29"/>
        <v>1</v>
      </c>
      <c r="M459" t="str">
        <f t="shared" ca="1" si="30"/>
        <v>1-3yrs</v>
      </c>
      <c r="N459" s="3">
        <f t="shared" ca="1" si="31"/>
        <v>422</v>
      </c>
    </row>
    <row r="460" spans="1:14" x14ac:dyDescent="0.35">
      <c r="A460" t="s">
        <v>940</v>
      </c>
      <c r="B460" t="s">
        <v>941</v>
      </c>
      <c r="C460" t="s">
        <v>11</v>
      </c>
      <c r="D460">
        <v>18</v>
      </c>
      <c r="E460" t="s">
        <v>34</v>
      </c>
      <c r="F460" t="s">
        <v>23</v>
      </c>
      <c r="G460" s="2">
        <v>103310</v>
      </c>
      <c r="H460" t="s">
        <v>20</v>
      </c>
      <c r="I460" s="1">
        <v>43849</v>
      </c>
      <c r="J460" t="str">
        <f t="shared" si="28"/>
        <v>Gen Z</v>
      </c>
      <c r="K460" t="str" cm="1">
        <f t="array" ref="K460">_xlfn.IFS(G460&lt;=50000,"Low",G460&lt;=100000,"Medium",G460&lt;=150000,"High",G460&gt;=150001,"Premium")</f>
        <v>High</v>
      </c>
      <c r="L460" s="3">
        <f t="shared" ca="1" si="29"/>
        <v>5</v>
      </c>
      <c r="M460" t="str">
        <f t="shared" ca="1" si="30"/>
        <v>5yrs +</v>
      </c>
      <c r="N460" s="3">
        <f t="shared" ca="1" si="31"/>
        <v>227</v>
      </c>
    </row>
    <row r="461" spans="1:14" x14ac:dyDescent="0.35">
      <c r="A461" t="s">
        <v>942</v>
      </c>
      <c r="B461" t="s">
        <v>943</v>
      </c>
      <c r="C461" t="s">
        <v>11</v>
      </c>
      <c r="D461">
        <v>35</v>
      </c>
      <c r="E461" t="s">
        <v>34</v>
      </c>
      <c r="F461" t="s">
        <v>23</v>
      </c>
      <c r="G461" s="2">
        <v>169381</v>
      </c>
      <c r="H461" t="s">
        <v>14</v>
      </c>
      <c r="I461" s="1">
        <v>44357</v>
      </c>
      <c r="J461" t="str">
        <f t="shared" si="28"/>
        <v>Millennials</v>
      </c>
      <c r="K461" t="str" cm="1">
        <f t="array" ref="K461">_xlfn.IFS(G461&lt;=50000,"Low",G461&lt;=100000,"Medium",G461&lt;=150000,"High",G461&gt;=150001,"Premium")</f>
        <v>Premium</v>
      </c>
      <c r="L461" s="3">
        <f t="shared" ca="1" si="29"/>
        <v>4</v>
      </c>
      <c r="M461" t="str">
        <f t="shared" ca="1" si="30"/>
        <v>3-5yrs</v>
      </c>
      <c r="N461" s="3">
        <f t="shared" ca="1" si="31"/>
        <v>273</v>
      </c>
    </row>
    <row r="462" spans="1:14" x14ac:dyDescent="0.35">
      <c r="A462" t="s">
        <v>944</v>
      </c>
      <c r="B462" t="s">
        <v>945</v>
      </c>
      <c r="C462" t="s">
        <v>17</v>
      </c>
      <c r="D462">
        <v>49</v>
      </c>
      <c r="E462" t="s">
        <v>12</v>
      </c>
      <c r="F462" t="s">
        <v>31</v>
      </c>
      <c r="G462" s="2">
        <v>151691</v>
      </c>
      <c r="H462" t="s">
        <v>14</v>
      </c>
      <c r="I462" s="1">
        <v>43401</v>
      </c>
      <c r="J462" t="str">
        <f t="shared" si="28"/>
        <v>Gen X</v>
      </c>
      <c r="K462" t="str" cm="1">
        <f t="array" ref="K462">_xlfn.IFS(G462&lt;=50000,"Low",G462&lt;=100000,"Medium",G462&lt;=150000,"High",G462&gt;=150001,"Premium")</f>
        <v>Premium</v>
      </c>
      <c r="L462" s="3">
        <f t="shared" ca="1" si="29"/>
        <v>7</v>
      </c>
      <c r="M462" t="str">
        <f t="shared" ca="1" si="30"/>
        <v>5yrs +</v>
      </c>
      <c r="N462" s="3">
        <f t="shared" ca="1" si="31"/>
        <v>118</v>
      </c>
    </row>
    <row r="463" spans="1:14" x14ac:dyDescent="0.35">
      <c r="A463" t="s">
        <v>946</v>
      </c>
      <c r="B463" t="s">
        <v>947</v>
      </c>
      <c r="C463" t="s">
        <v>11</v>
      </c>
      <c r="D463">
        <v>64</v>
      </c>
      <c r="E463" t="s">
        <v>18</v>
      </c>
      <c r="F463" t="s">
        <v>13</v>
      </c>
      <c r="G463" s="2">
        <v>54707</v>
      </c>
      <c r="H463" t="s">
        <v>20</v>
      </c>
      <c r="I463" s="1">
        <v>43726</v>
      </c>
      <c r="J463" t="str">
        <f t="shared" si="28"/>
        <v>Boomers</v>
      </c>
      <c r="K463" t="str" cm="1">
        <f t="array" ref="K463">_xlfn.IFS(G463&lt;=50000,"Low",G463&lt;=100000,"Medium",G463&lt;=150000,"High",G463&gt;=150001,"Premium")</f>
        <v>Medium</v>
      </c>
      <c r="L463" s="3">
        <f t="shared" ca="1" si="29"/>
        <v>6</v>
      </c>
      <c r="M463" t="str">
        <f t="shared" ca="1" si="30"/>
        <v>5yrs +</v>
      </c>
      <c r="N463" s="3">
        <f t="shared" ca="1" si="31"/>
        <v>169</v>
      </c>
    </row>
    <row r="464" spans="1:14" x14ac:dyDescent="0.35">
      <c r="A464" t="s">
        <v>948</v>
      </c>
      <c r="B464" t="s">
        <v>949</v>
      </c>
      <c r="C464" t="s">
        <v>17</v>
      </c>
      <c r="D464">
        <v>66</v>
      </c>
      <c r="E464" t="s">
        <v>18</v>
      </c>
      <c r="F464" t="s">
        <v>42</v>
      </c>
      <c r="G464" s="2">
        <v>171409</v>
      </c>
      <c r="H464" t="s">
        <v>14</v>
      </c>
      <c r="I464" s="1">
        <v>45484</v>
      </c>
      <c r="J464" t="str">
        <f t="shared" si="28"/>
        <v>Boomers</v>
      </c>
      <c r="K464" t="str" cm="1">
        <f t="array" ref="K464">_xlfn.IFS(G464&lt;=50000,"Low",G464&lt;=100000,"Medium",G464&lt;=150000,"High",G464&gt;=150001,"Premium")</f>
        <v>Premium</v>
      </c>
      <c r="L464" s="3">
        <f t="shared" ca="1" si="29"/>
        <v>1</v>
      </c>
      <c r="M464" t="str">
        <f t="shared" ca="1" si="30"/>
        <v>1-3yrs</v>
      </c>
      <c r="N464" s="3">
        <f t="shared" ca="1" si="31"/>
        <v>422</v>
      </c>
    </row>
    <row r="465" spans="1:14" x14ac:dyDescent="0.35">
      <c r="A465" t="s">
        <v>950</v>
      </c>
      <c r="B465" t="s">
        <v>951</v>
      </c>
      <c r="C465" t="s">
        <v>11</v>
      </c>
      <c r="D465">
        <v>28</v>
      </c>
      <c r="E465" t="s">
        <v>30</v>
      </c>
      <c r="F465" t="s">
        <v>27</v>
      </c>
      <c r="G465" s="2">
        <v>101537</v>
      </c>
      <c r="H465" t="s">
        <v>14</v>
      </c>
      <c r="I465" s="1">
        <v>43028</v>
      </c>
      <c r="J465" t="str">
        <f t="shared" si="28"/>
        <v>Gen Z</v>
      </c>
      <c r="K465" t="str" cm="1">
        <f t="array" ref="K465">_xlfn.IFS(G465&lt;=50000,"Low",G465&lt;=100000,"Medium",G465&lt;=150000,"High",G465&gt;=150001,"Premium")</f>
        <v>High</v>
      </c>
      <c r="L465" s="3">
        <f t="shared" ca="1" si="29"/>
        <v>8</v>
      </c>
      <c r="M465" t="str">
        <f t="shared" ca="1" si="30"/>
        <v>5yrs +</v>
      </c>
      <c r="N465" s="3">
        <f t="shared" ca="1" si="31"/>
        <v>59</v>
      </c>
    </row>
    <row r="466" spans="1:14" x14ac:dyDescent="0.35">
      <c r="A466" t="s">
        <v>952</v>
      </c>
      <c r="B466" t="s">
        <v>953</v>
      </c>
      <c r="C466" t="s">
        <v>17</v>
      </c>
      <c r="D466">
        <v>38</v>
      </c>
      <c r="E466" t="s">
        <v>12</v>
      </c>
      <c r="F466" t="s">
        <v>27</v>
      </c>
      <c r="G466" s="2">
        <v>198686</v>
      </c>
      <c r="H466" t="s">
        <v>20</v>
      </c>
      <c r="I466" s="1">
        <v>45801</v>
      </c>
      <c r="J466" t="str">
        <f t="shared" si="28"/>
        <v>Millennials</v>
      </c>
      <c r="K466" t="str" cm="1">
        <f t="array" ref="K466">_xlfn.IFS(G466&lt;=50000,"Low",G466&lt;=100000,"Medium",G466&lt;=150000,"High",G466&gt;=150001,"Premium")</f>
        <v>Premium</v>
      </c>
      <c r="L466" s="3">
        <f t="shared" ca="1" si="29"/>
        <v>0</v>
      </c>
      <c r="M466" t="str">
        <f t="shared" ca="1" si="30"/>
        <v>0-1yr</v>
      </c>
      <c r="N466" s="3">
        <f t="shared" ca="1" si="31"/>
        <v>475</v>
      </c>
    </row>
    <row r="467" spans="1:14" x14ac:dyDescent="0.35">
      <c r="A467" t="s">
        <v>954</v>
      </c>
      <c r="B467" t="s">
        <v>955</v>
      </c>
      <c r="C467" t="s">
        <v>11</v>
      </c>
      <c r="D467">
        <v>43</v>
      </c>
      <c r="E467" t="s">
        <v>30</v>
      </c>
      <c r="F467" t="s">
        <v>23</v>
      </c>
      <c r="G467" s="2">
        <v>111155</v>
      </c>
      <c r="H467" t="s">
        <v>14</v>
      </c>
      <c r="I467" s="1">
        <v>44745</v>
      </c>
      <c r="J467" t="str">
        <f t="shared" si="28"/>
        <v>Millennials</v>
      </c>
      <c r="K467" t="str" cm="1">
        <f t="array" ref="K467">_xlfn.IFS(G467&lt;=50000,"Low",G467&lt;=100000,"Medium",G467&lt;=150000,"High",G467&gt;=150001,"Premium")</f>
        <v>High</v>
      </c>
      <c r="L467" s="3">
        <f t="shared" ca="1" si="29"/>
        <v>3</v>
      </c>
      <c r="M467" t="str">
        <f t="shared" ca="1" si="30"/>
        <v>3-5yrs</v>
      </c>
      <c r="N467" s="3">
        <f t="shared" ca="1" si="31"/>
        <v>319</v>
      </c>
    </row>
    <row r="468" spans="1:14" x14ac:dyDescent="0.35">
      <c r="A468" t="s">
        <v>956</v>
      </c>
      <c r="B468" t="s">
        <v>957</v>
      </c>
      <c r="C468" t="s">
        <v>17</v>
      </c>
      <c r="D468">
        <v>42</v>
      </c>
      <c r="E468" t="s">
        <v>30</v>
      </c>
      <c r="F468" t="s">
        <v>13</v>
      </c>
      <c r="G468" s="2">
        <v>20281</v>
      </c>
      <c r="H468" t="s">
        <v>20</v>
      </c>
      <c r="I468" s="1">
        <v>44498</v>
      </c>
      <c r="J468" t="str">
        <f t="shared" si="28"/>
        <v>Millennials</v>
      </c>
      <c r="K468" t="str" cm="1">
        <f t="array" ref="K468">_xlfn.IFS(G468&lt;=50000,"Low",G468&lt;=100000,"Medium",G468&lt;=150000,"High",G468&gt;=150001,"Premium")</f>
        <v>Low</v>
      </c>
      <c r="L468" s="3">
        <f t="shared" ca="1" si="29"/>
        <v>4</v>
      </c>
      <c r="M468" t="str">
        <f t="shared" ca="1" si="30"/>
        <v>3-5yrs</v>
      </c>
      <c r="N468" s="3">
        <f t="shared" ca="1" si="31"/>
        <v>273</v>
      </c>
    </row>
    <row r="469" spans="1:14" x14ac:dyDescent="0.35">
      <c r="A469" t="s">
        <v>958</v>
      </c>
      <c r="B469" t="s">
        <v>959</v>
      </c>
      <c r="C469" t="s">
        <v>11</v>
      </c>
      <c r="D469">
        <v>39</v>
      </c>
      <c r="E469" t="s">
        <v>30</v>
      </c>
      <c r="F469" t="s">
        <v>13</v>
      </c>
      <c r="G469" s="2">
        <v>178492</v>
      </c>
      <c r="H469" t="s">
        <v>14</v>
      </c>
      <c r="I469" s="1">
        <v>45319</v>
      </c>
      <c r="J469" t="str">
        <f t="shared" si="28"/>
        <v>Millennials</v>
      </c>
      <c r="K469" t="str" cm="1">
        <f t="array" ref="K469">_xlfn.IFS(G469&lt;=50000,"Low",G469&lt;=100000,"Medium",G469&lt;=150000,"High",G469&gt;=150001,"Premium")</f>
        <v>Premium</v>
      </c>
      <c r="L469" s="3">
        <f t="shared" ca="1" si="29"/>
        <v>1</v>
      </c>
      <c r="M469" t="str">
        <f t="shared" ca="1" si="30"/>
        <v>1-3yrs</v>
      </c>
      <c r="N469" s="3">
        <f t="shared" ca="1" si="31"/>
        <v>422</v>
      </c>
    </row>
    <row r="470" spans="1:14" x14ac:dyDescent="0.35">
      <c r="A470" t="s">
        <v>960</v>
      </c>
      <c r="B470" t="s">
        <v>961</v>
      </c>
      <c r="C470" t="s">
        <v>11</v>
      </c>
      <c r="D470">
        <v>44</v>
      </c>
      <c r="E470" t="s">
        <v>18</v>
      </c>
      <c r="F470" t="s">
        <v>42</v>
      </c>
      <c r="G470" s="2">
        <v>190102</v>
      </c>
      <c r="H470" t="s">
        <v>24</v>
      </c>
      <c r="I470" s="1">
        <v>42954</v>
      </c>
      <c r="J470" t="str">
        <f t="shared" si="28"/>
        <v>Millennials</v>
      </c>
      <c r="K470" t="str" cm="1">
        <f t="array" ref="K470">_xlfn.IFS(G470&lt;=50000,"Low",G470&lt;=100000,"Medium",G470&lt;=150000,"High",G470&gt;=150001,"Premium")</f>
        <v>Premium</v>
      </c>
      <c r="L470" s="3">
        <f t="shared" ca="1" si="29"/>
        <v>8</v>
      </c>
      <c r="M470" t="str">
        <f t="shared" ca="1" si="30"/>
        <v>5yrs +</v>
      </c>
      <c r="N470" s="3">
        <f t="shared" ca="1" si="31"/>
        <v>59</v>
      </c>
    </row>
    <row r="471" spans="1:14" x14ac:dyDescent="0.35">
      <c r="A471" t="s">
        <v>962</v>
      </c>
      <c r="B471" t="s">
        <v>963</v>
      </c>
      <c r="C471" t="s">
        <v>17</v>
      </c>
      <c r="D471">
        <v>66</v>
      </c>
      <c r="E471" t="s">
        <v>12</v>
      </c>
      <c r="F471" t="s">
        <v>31</v>
      </c>
      <c r="G471" s="2">
        <v>152130</v>
      </c>
      <c r="H471" t="s">
        <v>14</v>
      </c>
      <c r="I471" s="1">
        <v>44345</v>
      </c>
      <c r="J471" t="str">
        <f t="shared" si="28"/>
        <v>Boomers</v>
      </c>
      <c r="K471" t="str" cm="1">
        <f t="array" ref="K471">_xlfn.IFS(G471&lt;=50000,"Low",G471&lt;=100000,"Medium",G471&lt;=150000,"High",G471&gt;=150001,"Premium")</f>
        <v>Premium</v>
      </c>
      <c r="L471" s="3">
        <f t="shared" ca="1" si="29"/>
        <v>4</v>
      </c>
      <c r="M471" t="str">
        <f t="shared" ca="1" si="30"/>
        <v>3-5yrs</v>
      </c>
      <c r="N471" s="3">
        <f t="shared" ca="1" si="31"/>
        <v>273</v>
      </c>
    </row>
    <row r="472" spans="1:14" x14ac:dyDescent="0.35">
      <c r="A472" t="s">
        <v>964</v>
      </c>
      <c r="B472" t="s">
        <v>965</v>
      </c>
      <c r="C472" t="s">
        <v>11</v>
      </c>
      <c r="D472">
        <v>30</v>
      </c>
      <c r="E472" t="s">
        <v>30</v>
      </c>
      <c r="F472" t="s">
        <v>19</v>
      </c>
      <c r="G472" s="2">
        <v>96260</v>
      </c>
      <c r="H472" t="s">
        <v>14</v>
      </c>
      <c r="I472" s="1">
        <v>45664</v>
      </c>
      <c r="J472" t="str">
        <f t="shared" si="28"/>
        <v>Millennials</v>
      </c>
      <c r="K472" t="str" cm="1">
        <f t="array" ref="K472">_xlfn.IFS(G472&lt;=50000,"Low",G472&lt;=100000,"Medium",G472&lt;=150000,"High",G472&gt;=150001,"Premium")</f>
        <v>Medium</v>
      </c>
      <c r="L472" s="3">
        <f t="shared" ca="1" si="29"/>
        <v>0</v>
      </c>
      <c r="M472" t="str">
        <f t="shared" ca="1" si="30"/>
        <v>0-1yr</v>
      </c>
      <c r="N472" s="3">
        <f t="shared" ca="1" si="31"/>
        <v>475</v>
      </c>
    </row>
    <row r="473" spans="1:14" x14ac:dyDescent="0.35">
      <c r="A473" t="s">
        <v>966</v>
      </c>
      <c r="B473" t="s">
        <v>967</v>
      </c>
      <c r="C473" t="s">
        <v>17</v>
      </c>
      <c r="D473">
        <v>50</v>
      </c>
      <c r="E473" t="s">
        <v>12</v>
      </c>
      <c r="F473" t="s">
        <v>27</v>
      </c>
      <c r="G473" s="2">
        <v>179476</v>
      </c>
      <c r="H473" t="s">
        <v>14</v>
      </c>
      <c r="I473" s="1">
        <v>43369</v>
      </c>
      <c r="J473" t="str">
        <f t="shared" si="28"/>
        <v>Gen X</v>
      </c>
      <c r="K473" t="str" cm="1">
        <f t="array" ref="K473">_xlfn.IFS(G473&lt;=50000,"Low",G473&lt;=100000,"Medium",G473&lt;=150000,"High",G473&gt;=150001,"Premium")</f>
        <v>Premium</v>
      </c>
      <c r="L473" s="3">
        <f t="shared" ca="1" si="29"/>
        <v>7</v>
      </c>
      <c r="M473" t="str">
        <f t="shared" ca="1" si="30"/>
        <v>5yrs +</v>
      </c>
      <c r="N473" s="3">
        <f t="shared" ca="1" si="31"/>
        <v>118</v>
      </c>
    </row>
    <row r="474" spans="1:14" x14ac:dyDescent="0.35">
      <c r="A474" t="s">
        <v>968</v>
      </c>
      <c r="B474" t="s">
        <v>969</v>
      </c>
      <c r="C474" t="s">
        <v>11</v>
      </c>
      <c r="D474">
        <v>51</v>
      </c>
      <c r="E474" t="s">
        <v>12</v>
      </c>
      <c r="F474" t="s">
        <v>31</v>
      </c>
      <c r="G474" s="2">
        <v>180928</v>
      </c>
      <c r="H474" t="s">
        <v>14</v>
      </c>
      <c r="I474" s="1">
        <v>44083</v>
      </c>
      <c r="J474" t="str">
        <f t="shared" si="28"/>
        <v>Gen X</v>
      </c>
      <c r="K474" t="str" cm="1">
        <f t="array" ref="K474">_xlfn.IFS(G474&lt;=50000,"Low",G474&lt;=100000,"Medium",G474&lt;=150000,"High",G474&gt;=150001,"Premium")</f>
        <v>Premium</v>
      </c>
      <c r="L474" s="3">
        <f t="shared" ca="1" si="29"/>
        <v>5</v>
      </c>
      <c r="M474" t="str">
        <f t="shared" ca="1" si="30"/>
        <v>5yrs +</v>
      </c>
      <c r="N474" s="3">
        <f t="shared" ca="1" si="31"/>
        <v>227</v>
      </c>
    </row>
    <row r="475" spans="1:14" x14ac:dyDescent="0.35">
      <c r="A475" t="s">
        <v>970</v>
      </c>
      <c r="B475" t="s">
        <v>971</v>
      </c>
      <c r="C475" t="s">
        <v>17</v>
      </c>
      <c r="D475">
        <v>58</v>
      </c>
      <c r="E475" t="s">
        <v>18</v>
      </c>
      <c r="F475" t="s">
        <v>37</v>
      </c>
      <c r="G475" s="2">
        <v>160272</v>
      </c>
      <c r="H475" t="s">
        <v>20</v>
      </c>
      <c r="I475" s="1">
        <v>43719</v>
      </c>
      <c r="J475" t="str">
        <f t="shared" si="28"/>
        <v>Gen X</v>
      </c>
      <c r="K475" t="str" cm="1">
        <f t="array" ref="K475">_xlfn.IFS(G475&lt;=50000,"Low",G475&lt;=100000,"Medium",G475&lt;=150000,"High",G475&gt;=150001,"Premium")</f>
        <v>Premium</v>
      </c>
      <c r="L475" s="3">
        <f t="shared" ca="1" si="29"/>
        <v>6</v>
      </c>
      <c r="M475" t="str">
        <f t="shared" ca="1" si="30"/>
        <v>5yrs +</v>
      </c>
      <c r="N475" s="3">
        <f t="shared" ca="1" si="31"/>
        <v>169</v>
      </c>
    </row>
    <row r="476" spans="1:14" x14ac:dyDescent="0.35">
      <c r="A476" t="s">
        <v>972</v>
      </c>
      <c r="B476" t="s">
        <v>973</v>
      </c>
      <c r="C476" t="s">
        <v>11</v>
      </c>
      <c r="D476">
        <v>52</v>
      </c>
      <c r="E476" t="s">
        <v>30</v>
      </c>
      <c r="F476" t="s">
        <v>27</v>
      </c>
      <c r="G476" s="2">
        <v>84178</v>
      </c>
      <c r="H476" t="s">
        <v>24</v>
      </c>
      <c r="I476" s="1">
        <v>44123</v>
      </c>
      <c r="J476" t="str">
        <f t="shared" si="28"/>
        <v>Gen X</v>
      </c>
      <c r="K476" t="str" cm="1">
        <f t="array" ref="K476">_xlfn.IFS(G476&lt;=50000,"Low",G476&lt;=100000,"Medium",G476&lt;=150000,"High",G476&gt;=150001,"Premium")</f>
        <v>Medium</v>
      </c>
      <c r="L476" s="3">
        <f t="shared" ca="1" si="29"/>
        <v>5</v>
      </c>
      <c r="M476" t="str">
        <f t="shared" ca="1" si="30"/>
        <v>5yrs +</v>
      </c>
      <c r="N476" s="3">
        <f t="shared" ca="1" si="31"/>
        <v>227</v>
      </c>
    </row>
    <row r="477" spans="1:14" x14ac:dyDescent="0.35">
      <c r="A477" t="s">
        <v>974</v>
      </c>
      <c r="B477" t="s">
        <v>975</v>
      </c>
      <c r="C477" t="s">
        <v>17</v>
      </c>
      <c r="D477">
        <v>18</v>
      </c>
      <c r="E477" t="s">
        <v>30</v>
      </c>
      <c r="F477" t="s">
        <v>31</v>
      </c>
      <c r="G477" s="2">
        <v>53997</v>
      </c>
      <c r="H477" t="s">
        <v>14</v>
      </c>
      <c r="I477" s="1">
        <v>43488</v>
      </c>
      <c r="J477" t="str">
        <f t="shared" si="28"/>
        <v>Gen Z</v>
      </c>
      <c r="K477" t="str" cm="1">
        <f t="array" ref="K477">_xlfn.IFS(G477&lt;=50000,"Low",G477&lt;=100000,"Medium",G477&lt;=150000,"High",G477&gt;=150001,"Premium")</f>
        <v>Medium</v>
      </c>
      <c r="L477" s="3">
        <f t="shared" ca="1" si="29"/>
        <v>6</v>
      </c>
      <c r="M477" t="str">
        <f t="shared" ca="1" si="30"/>
        <v>5yrs +</v>
      </c>
      <c r="N477" s="3">
        <f t="shared" ca="1" si="31"/>
        <v>169</v>
      </c>
    </row>
    <row r="478" spans="1:14" x14ac:dyDescent="0.35">
      <c r="A478" t="s">
        <v>976</v>
      </c>
      <c r="B478" t="s">
        <v>977</v>
      </c>
      <c r="C478" t="s">
        <v>11</v>
      </c>
      <c r="D478">
        <v>38</v>
      </c>
      <c r="E478" t="s">
        <v>12</v>
      </c>
      <c r="F478" t="s">
        <v>27</v>
      </c>
      <c r="G478" s="2">
        <v>176683</v>
      </c>
      <c r="H478" t="s">
        <v>14</v>
      </c>
      <c r="I478" s="1">
        <v>42325</v>
      </c>
      <c r="J478" t="str">
        <f t="shared" si="28"/>
        <v>Millennials</v>
      </c>
      <c r="K478" t="str" cm="1">
        <f t="array" ref="K478">_xlfn.IFS(G478&lt;=50000,"Low",G478&lt;=100000,"Medium",G478&lt;=150000,"High",G478&gt;=150001,"Premium")</f>
        <v>Premium</v>
      </c>
      <c r="L478" s="3">
        <f t="shared" ca="1" si="29"/>
        <v>10</v>
      </c>
      <c r="M478" t="str">
        <f t="shared" ca="1" si="30"/>
        <v>5yrs +</v>
      </c>
      <c r="N478" s="3">
        <f t="shared" ca="1" si="31"/>
        <v>1</v>
      </c>
    </row>
    <row r="479" spans="1:14" x14ac:dyDescent="0.35">
      <c r="A479" t="s">
        <v>978</v>
      </c>
      <c r="B479" t="s">
        <v>979</v>
      </c>
      <c r="C479" t="s">
        <v>17</v>
      </c>
      <c r="D479">
        <v>65</v>
      </c>
      <c r="E479" t="s">
        <v>34</v>
      </c>
      <c r="F479" t="s">
        <v>19</v>
      </c>
      <c r="G479" s="2">
        <v>139273</v>
      </c>
      <c r="H479" t="s">
        <v>20</v>
      </c>
      <c r="I479" s="1">
        <v>42602</v>
      </c>
      <c r="J479" t="str">
        <f t="shared" si="28"/>
        <v>Boomers</v>
      </c>
      <c r="K479" t="str" cm="1">
        <f t="array" ref="K479">_xlfn.IFS(G479&lt;=50000,"Low",G479&lt;=100000,"Medium",G479&lt;=150000,"High",G479&gt;=150001,"Premium")</f>
        <v>High</v>
      </c>
      <c r="L479" s="3">
        <f t="shared" ca="1" si="29"/>
        <v>9</v>
      </c>
      <c r="M479" t="str">
        <f t="shared" ca="1" si="30"/>
        <v>5yrs +</v>
      </c>
      <c r="N479" s="3">
        <f t="shared" ca="1" si="31"/>
        <v>17</v>
      </c>
    </row>
    <row r="480" spans="1:14" x14ac:dyDescent="0.35">
      <c r="A480" t="s">
        <v>980</v>
      </c>
      <c r="B480" t="s">
        <v>981</v>
      </c>
      <c r="C480" t="s">
        <v>11</v>
      </c>
      <c r="D480">
        <v>72</v>
      </c>
      <c r="E480" t="s">
        <v>18</v>
      </c>
      <c r="F480" t="s">
        <v>37</v>
      </c>
      <c r="G480" s="2">
        <v>192307</v>
      </c>
      <c r="H480" t="s">
        <v>20</v>
      </c>
      <c r="I480" s="1">
        <v>44108</v>
      </c>
      <c r="J480" t="str">
        <f t="shared" si="28"/>
        <v>Boomers</v>
      </c>
      <c r="K480" t="str" cm="1">
        <f t="array" ref="K480">_xlfn.IFS(G480&lt;=50000,"Low",G480&lt;=100000,"Medium",G480&lt;=150000,"High",G480&gt;=150001,"Premium")</f>
        <v>Premium</v>
      </c>
      <c r="L480" s="3">
        <f t="shared" ca="1" si="29"/>
        <v>5</v>
      </c>
      <c r="M480" t="str">
        <f t="shared" ca="1" si="30"/>
        <v>5yrs +</v>
      </c>
      <c r="N480" s="3">
        <f t="shared" ca="1" si="31"/>
        <v>227</v>
      </c>
    </row>
    <row r="481" spans="1:14" x14ac:dyDescent="0.35">
      <c r="A481" t="s">
        <v>982</v>
      </c>
      <c r="B481" t="s">
        <v>983</v>
      </c>
      <c r="C481" t="s">
        <v>17</v>
      </c>
      <c r="D481">
        <v>23</v>
      </c>
      <c r="E481" t="s">
        <v>18</v>
      </c>
      <c r="F481" t="s">
        <v>19</v>
      </c>
      <c r="G481" s="2">
        <v>186129</v>
      </c>
      <c r="H481" t="s">
        <v>14</v>
      </c>
      <c r="I481" s="1">
        <v>45476</v>
      </c>
      <c r="J481" t="str">
        <f t="shared" si="28"/>
        <v>Gen Z</v>
      </c>
      <c r="K481" t="str" cm="1">
        <f t="array" ref="K481">_xlfn.IFS(G481&lt;=50000,"Low",G481&lt;=100000,"Medium",G481&lt;=150000,"High",G481&gt;=150001,"Premium")</f>
        <v>Premium</v>
      </c>
      <c r="L481" s="3">
        <f t="shared" ca="1" si="29"/>
        <v>1</v>
      </c>
      <c r="M481" t="str">
        <f t="shared" ca="1" si="30"/>
        <v>1-3yrs</v>
      </c>
      <c r="N481" s="3">
        <f t="shared" ca="1" si="31"/>
        <v>422</v>
      </c>
    </row>
    <row r="482" spans="1:14" x14ac:dyDescent="0.35">
      <c r="A482" t="s">
        <v>984</v>
      </c>
      <c r="B482" t="s">
        <v>985</v>
      </c>
      <c r="C482" t="s">
        <v>17</v>
      </c>
      <c r="D482">
        <v>45</v>
      </c>
      <c r="E482" t="s">
        <v>18</v>
      </c>
      <c r="F482" t="s">
        <v>42</v>
      </c>
      <c r="G482" s="2">
        <v>152311</v>
      </c>
      <c r="H482" t="s">
        <v>14</v>
      </c>
      <c r="I482" s="1">
        <v>42411</v>
      </c>
      <c r="J482" t="str">
        <f t="shared" si="28"/>
        <v>Gen X</v>
      </c>
      <c r="K482" t="str" cm="1">
        <f t="array" ref="K482">_xlfn.IFS(G482&lt;=50000,"Low",G482&lt;=100000,"Medium",G482&lt;=150000,"High",G482&gt;=150001,"Premium")</f>
        <v>Premium</v>
      </c>
      <c r="L482" s="3">
        <f t="shared" ca="1" si="29"/>
        <v>9</v>
      </c>
      <c r="M482" t="str">
        <f t="shared" ca="1" si="30"/>
        <v>5yrs +</v>
      </c>
      <c r="N482" s="3">
        <f t="shared" ca="1" si="31"/>
        <v>17</v>
      </c>
    </row>
    <row r="483" spans="1:14" x14ac:dyDescent="0.35">
      <c r="A483" t="s">
        <v>986</v>
      </c>
      <c r="B483" t="s">
        <v>987</v>
      </c>
      <c r="C483" t="s">
        <v>17</v>
      </c>
      <c r="D483">
        <v>34</v>
      </c>
      <c r="E483" t="s">
        <v>18</v>
      </c>
      <c r="F483" t="s">
        <v>37</v>
      </c>
      <c r="G483" s="2">
        <v>146945</v>
      </c>
      <c r="H483" t="s">
        <v>14</v>
      </c>
      <c r="I483" s="1">
        <v>43553</v>
      </c>
      <c r="J483" t="str">
        <f t="shared" si="28"/>
        <v>Millennials</v>
      </c>
      <c r="K483" t="str" cm="1">
        <f t="array" ref="K483">_xlfn.IFS(G483&lt;=50000,"Low",G483&lt;=100000,"Medium",G483&lt;=150000,"High",G483&gt;=150001,"Premium")</f>
        <v>High</v>
      </c>
      <c r="L483" s="3">
        <f t="shared" ca="1" si="29"/>
        <v>6</v>
      </c>
      <c r="M483" t="str">
        <f t="shared" ca="1" si="30"/>
        <v>5yrs +</v>
      </c>
      <c r="N483" s="3">
        <f t="shared" ca="1" si="31"/>
        <v>169</v>
      </c>
    </row>
    <row r="484" spans="1:14" x14ac:dyDescent="0.35">
      <c r="A484" t="s">
        <v>988</v>
      </c>
      <c r="B484" t="s">
        <v>989</v>
      </c>
      <c r="C484" t="s">
        <v>11</v>
      </c>
      <c r="D484">
        <v>22</v>
      </c>
      <c r="E484" t="s">
        <v>30</v>
      </c>
      <c r="F484" t="s">
        <v>23</v>
      </c>
      <c r="G484" s="2">
        <v>65272</v>
      </c>
      <c r="H484" t="s">
        <v>20</v>
      </c>
      <c r="I484" s="1">
        <v>45512</v>
      </c>
      <c r="J484" t="str">
        <f t="shared" si="28"/>
        <v>Gen Z</v>
      </c>
      <c r="K484" t="str" cm="1">
        <f t="array" ref="K484">_xlfn.IFS(G484&lt;=50000,"Low",G484&lt;=100000,"Medium",G484&lt;=150000,"High",G484&gt;=150001,"Premium")</f>
        <v>Medium</v>
      </c>
      <c r="L484" s="3">
        <f t="shared" ca="1" si="29"/>
        <v>1</v>
      </c>
      <c r="M484" t="str">
        <f t="shared" ca="1" si="30"/>
        <v>1-3yrs</v>
      </c>
      <c r="N484" s="3">
        <f t="shared" ca="1" si="31"/>
        <v>422</v>
      </c>
    </row>
    <row r="485" spans="1:14" x14ac:dyDescent="0.35">
      <c r="A485" t="s">
        <v>990</v>
      </c>
      <c r="B485" t="s">
        <v>991</v>
      </c>
      <c r="C485" t="s">
        <v>17</v>
      </c>
      <c r="D485">
        <v>48</v>
      </c>
      <c r="E485" t="s">
        <v>30</v>
      </c>
      <c r="F485" t="s">
        <v>31</v>
      </c>
      <c r="G485" s="2">
        <v>109393</v>
      </c>
      <c r="H485" t="s">
        <v>14</v>
      </c>
      <c r="I485" s="1">
        <v>45087</v>
      </c>
      <c r="J485" t="str">
        <f t="shared" si="28"/>
        <v>Gen X</v>
      </c>
      <c r="K485" t="str" cm="1">
        <f t="array" ref="K485">_xlfn.IFS(G485&lt;=50000,"Low",G485&lt;=100000,"Medium",G485&lt;=150000,"High",G485&gt;=150001,"Premium")</f>
        <v>High</v>
      </c>
      <c r="L485" s="3">
        <f t="shared" ca="1" si="29"/>
        <v>2</v>
      </c>
      <c r="M485" t="str">
        <f t="shared" ca="1" si="30"/>
        <v>1-3yrs</v>
      </c>
      <c r="N485" s="3">
        <f t="shared" ca="1" si="31"/>
        <v>367</v>
      </c>
    </row>
    <row r="486" spans="1:14" x14ac:dyDescent="0.35">
      <c r="A486" t="s">
        <v>992</v>
      </c>
      <c r="B486" t="s">
        <v>993</v>
      </c>
      <c r="C486" t="s">
        <v>11</v>
      </c>
      <c r="D486">
        <v>22</v>
      </c>
      <c r="E486" t="s">
        <v>34</v>
      </c>
      <c r="F486" t="s">
        <v>37</v>
      </c>
      <c r="G486" s="2">
        <v>81212</v>
      </c>
      <c r="H486" t="s">
        <v>20</v>
      </c>
      <c r="I486" s="1">
        <v>43346</v>
      </c>
      <c r="J486" t="str">
        <f t="shared" si="28"/>
        <v>Gen Z</v>
      </c>
      <c r="K486" t="str" cm="1">
        <f t="array" ref="K486">_xlfn.IFS(G486&lt;=50000,"Low",G486&lt;=100000,"Medium",G486&lt;=150000,"High",G486&gt;=150001,"Premium")</f>
        <v>Medium</v>
      </c>
      <c r="L486" s="3">
        <f t="shared" ca="1" si="29"/>
        <v>7</v>
      </c>
      <c r="M486" t="str">
        <f t="shared" ca="1" si="30"/>
        <v>5yrs +</v>
      </c>
      <c r="N486" s="3">
        <f t="shared" ca="1" si="31"/>
        <v>118</v>
      </c>
    </row>
    <row r="487" spans="1:14" x14ac:dyDescent="0.35">
      <c r="A487" t="s">
        <v>994</v>
      </c>
      <c r="B487" t="s">
        <v>995</v>
      </c>
      <c r="C487" t="s">
        <v>17</v>
      </c>
      <c r="D487">
        <v>55</v>
      </c>
      <c r="E487" t="s">
        <v>18</v>
      </c>
      <c r="F487" t="s">
        <v>42</v>
      </c>
      <c r="G487" s="2">
        <v>166470</v>
      </c>
      <c r="H487" t="s">
        <v>14</v>
      </c>
      <c r="I487" s="1">
        <v>45621</v>
      </c>
      <c r="J487" t="str">
        <f t="shared" si="28"/>
        <v>Gen X</v>
      </c>
      <c r="K487" t="str" cm="1">
        <f t="array" ref="K487">_xlfn.IFS(G487&lt;=50000,"Low",G487&lt;=100000,"Medium",G487&lt;=150000,"High",G487&gt;=150001,"Premium")</f>
        <v>Premium</v>
      </c>
      <c r="L487" s="3">
        <f t="shared" ca="1" si="29"/>
        <v>1</v>
      </c>
      <c r="M487" t="str">
        <f t="shared" ca="1" si="30"/>
        <v>1-3yrs</v>
      </c>
      <c r="N487" s="3">
        <f t="shared" ca="1" si="31"/>
        <v>422</v>
      </c>
    </row>
    <row r="488" spans="1:14" x14ac:dyDescent="0.35">
      <c r="A488" t="s">
        <v>996</v>
      </c>
      <c r="B488" t="s">
        <v>997</v>
      </c>
      <c r="C488" t="s">
        <v>11</v>
      </c>
      <c r="D488">
        <v>20</v>
      </c>
      <c r="E488" t="s">
        <v>18</v>
      </c>
      <c r="F488" t="s">
        <v>42</v>
      </c>
      <c r="G488" s="2">
        <v>140030</v>
      </c>
      <c r="H488" t="s">
        <v>20</v>
      </c>
      <c r="I488" s="1">
        <v>44975</v>
      </c>
      <c r="J488" t="str">
        <f t="shared" si="28"/>
        <v>Gen Z</v>
      </c>
      <c r="K488" t="str" cm="1">
        <f t="array" ref="K488">_xlfn.IFS(G488&lt;=50000,"Low",G488&lt;=100000,"Medium",G488&lt;=150000,"High",G488&gt;=150001,"Premium")</f>
        <v>High</v>
      </c>
      <c r="L488" s="3">
        <f t="shared" ca="1" si="29"/>
        <v>2</v>
      </c>
      <c r="M488" t="str">
        <f t="shared" ca="1" si="30"/>
        <v>1-3yrs</v>
      </c>
      <c r="N488" s="3">
        <f t="shared" ca="1" si="31"/>
        <v>367</v>
      </c>
    </row>
    <row r="489" spans="1:14" x14ac:dyDescent="0.35">
      <c r="A489" t="s">
        <v>998</v>
      </c>
      <c r="B489" t="s">
        <v>999</v>
      </c>
      <c r="C489" t="s">
        <v>17</v>
      </c>
      <c r="D489">
        <v>70</v>
      </c>
      <c r="E489" t="s">
        <v>12</v>
      </c>
      <c r="F489" t="s">
        <v>19</v>
      </c>
      <c r="G489" s="2">
        <v>76503</v>
      </c>
      <c r="H489" t="s">
        <v>14</v>
      </c>
      <c r="I489" s="1">
        <v>45681</v>
      </c>
      <c r="J489" t="str">
        <f t="shared" si="28"/>
        <v>Boomers</v>
      </c>
      <c r="K489" t="str" cm="1">
        <f t="array" ref="K489">_xlfn.IFS(G489&lt;=50000,"Low",G489&lt;=100000,"Medium",G489&lt;=150000,"High",G489&gt;=150001,"Premium")</f>
        <v>Medium</v>
      </c>
      <c r="L489" s="3">
        <f t="shared" ca="1" si="29"/>
        <v>0</v>
      </c>
      <c r="M489" t="str">
        <f t="shared" ca="1" si="30"/>
        <v>0-1yr</v>
      </c>
      <c r="N489" s="3">
        <f t="shared" ca="1" si="31"/>
        <v>475</v>
      </c>
    </row>
    <row r="490" spans="1:14" x14ac:dyDescent="0.35">
      <c r="A490" t="s">
        <v>1000</v>
      </c>
      <c r="B490" t="s">
        <v>1001</v>
      </c>
      <c r="C490" t="s">
        <v>11</v>
      </c>
      <c r="D490">
        <v>40</v>
      </c>
      <c r="E490" t="s">
        <v>30</v>
      </c>
      <c r="F490" t="s">
        <v>27</v>
      </c>
      <c r="G490" s="2">
        <v>157710</v>
      </c>
      <c r="H490" t="s">
        <v>14</v>
      </c>
      <c r="I490" s="1">
        <v>45104</v>
      </c>
      <c r="J490" t="str">
        <f t="shared" si="28"/>
        <v>Millennials</v>
      </c>
      <c r="K490" t="str" cm="1">
        <f t="array" ref="K490">_xlfn.IFS(G490&lt;=50000,"Low",G490&lt;=100000,"Medium",G490&lt;=150000,"High",G490&gt;=150001,"Premium")</f>
        <v>Premium</v>
      </c>
      <c r="L490" s="3">
        <f t="shared" ca="1" si="29"/>
        <v>2</v>
      </c>
      <c r="M490" t="str">
        <f t="shared" ca="1" si="30"/>
        <v>1-3yrs</v>
      </c>
      <c r="N490" s="3">
        <f t="shared" ca="1" si="31"/>
        <v>367</v>
      </c>
    </row>
    <row r="491" spans="1:14" x14ac:dyDescent="0.35">
      <c r="A491" t="s">
        <v>1002</v>
      </c>
      <c r="B491" t="s">
        <v>1003</v>
      </c>
      <c r="C491" t="s">
        <v>11</v>
      </c>
      <c r="D491">
        <v>54</v>
      </c>
      <c r="E491" t="s">
        <v>18</v>
      </c>
      <c r="F491" t="s">
        <v>37</v>
      </c>
      <c r="G491" s="2">
        <v>26570</v>
      </c>
      <c r="H491" t="s">
        <v>14</v>
      </c>
      <c r="I491" s="1">
        <v>44800</v>
      </c>
      <c r="J491" t="str">
        <f t="shared" si="28"/>
        <v>Gen X</v>
      </c>
      <c r="K491" t="str" cm="1">
        <f t="array" ref="K491">_xlfn.IFS(G491&lt;=50000,"Low",G491&lt;=100000,"Medium",G491&lt;=150000,"High",G491&gt;=150001,"Premium")</f>
        <v>Low</v>
      </c>
      <c r="L491" s="3">
        <f t="shared" ca="1" si="29"/>
        <v>3</v>
      </c>
      <c r="M491" t="str">
        <f t="shared" ca="1" si="30"/>
        <v>3-5yrs</v>
      </c>
      <c r="N491" s="3">
        <f t="shared" ca="1" si="31"/>
        <v>319</v>
      </c>
    </row>
    <row r="492" spans="1:14" x14ac:dyDescent="0.35">
      <c r="A492" t="s">
        <v>1004</v>
      </c>
      <c r="B492" t="s">
        <v>1005</v>
      </c>
      <c r="C492" t="s">
        <v>17</v>
      </c>
      <c r="D492">
        <v>70</v>
      </c>
      <c r="E492" t="s">
        <v>34</v>
      </c>
      <c r="F492" t="s">
        <v>31</v>
      </c>
      <c r="G492" s="2">
        <v>88785</v>
      </c>
      <c r="H492" t="s">
        <v>20</v>
      </c>
      <c r="I492" s="1">
        <v>44778</v>
      </c>
      <c r="J492" t="str">
        <f t="shared" si="28"/>
        <v>Boomers</v>
      </c>
      <c r="K492" t="str" cm="1">
        <f t="array" ref="K492">_xlfn.IFS(G492&lt;=50000,"Low",G492&lt;=100000,"Medium",G492&lt;=150000,"High",G492&gt;=150001,"Premium")</f>
        <v>Medium</v>
      </c>
      <c r="L492" s="3">
        <f t="shared" ca="1" si="29"/>
        <v>3</v>
      </c>
      <c r="M492" t="str">
        <f t="shared" ca="1" si="30"/>
        <v>3-5yrs</v>
      </c>
      <c r="N492" s="3">
        <f t="shared" ca="1" si="31"/>
        <v>319</v>
      </c>
    </row>
    <row r="493" spans="1:14" x14ac:dyDescent="0.35">
      <c r="A493" t="s">
        <v>1006</v>
      </c>
      <c r="B493" t="s">
        <v>1007</v>
      </c>
      <c r="C493" t="s">
        <v>11</v>
      </c>
      <c r="D493">
        <v>54</v>
      </c>
      <c r="E493" t="s">
        <v>34</v>
      </c>
      <c r="F493" t="s">
        <v>37</v>
      </c>
      <c r="G493" s="2">
        <v>29110</v>
      </c>
      <c r="H493" t="s">
        <v>14</v>
      </c>
      <c r="I493" s="1">
        <v>44859</v>
      </c>
      <c r="J493" t="str">
        <f t="shared" si="28"/>
        <v>Gen X</v>
      </c>
      <c r="K493" t="str" cm="1">
        <f t="array" ref="K493">_xlfn.IFS(G493&lt;=50000,"Low",G493&lt;=100000,"Medium",G493&lt;=150000,"High",G493&gt;=150001,"Premium")</f>
        <v>Low</v>
      </c>
      <c r="L493" s="3">
        <f t="shared" ca="1" si="29"/>
        <v>3</v>
      </c>
      <c r="M493" t="str">
        <f t="shared" ca="1" si="30"/>
        <v>3-5yrs</v>
      </c>
      <c r="N493" s="3">
        <f t="shared" ca="1" si="31"/>
        <v>319</v>
      </c>
    </row>
    <row r="494" spans="1:14" x14ac:dyDescent="0.35">
      <c r="A494" t="s">
        <v>1008</v>
      </c>
      <c r="B494" t="s">
        <v>1009</v>
      </c>
      <c r="C494" t="s">
        <v>11</v>
      </c>
      <c r="D494">
        <v>27</v>
      </c>
      <c r="E494" t="s">
        <v>30</v>
      </c>
      <c r="F494" t="s">
        <v>13</v>
      </c>
      <c r="G494" s="2">
        <v>99141</v>
      </c>
      <c r="H494" t="s">
        <v>14</v>
      </c>
      <c r="I494" s="1">
        <v>45393</v>
      </c>
      <c r="J494" t="str">
        <f t="shared" si="28"/>
        <v>Gen Z</v>
      </c>
      <c r="K494" t="str" cm="1">
        <f t="array" ref="K494">_xlfn.IFS(G494&lt;=50000,"Low",G494&lt;=100000,"Medium",G494&lt;=150000,"High",G494&gt;=150001,"Premium")</f>
        <v>Medium</v>
      </c>
      <c r="L494" s="3">
        <f t="shared" ca="1" si="29"/>
        <v>1</v>
      </c>
      <c r="M494" t="str">
        <f t="shared" ca="1" si="30"/>
        <v>1-3yrs</v>
      </c>
      <c r="N494" s="3">
        <f t="shared" ca="1" si="31"/>
        <v>422</v>
      </c>
    </row>
    <row r="495" spans="1:14" x14ac:dyDescent="0.35">
      <c r="A495" t="s">
        <v>1010</v>
      </c>
      <c r="B495" t="s">
        <v>1011</v>
      </c>
      <c r="C495" t="s">
        <v>17</v>
      </c>
      <c r="D495">
        <v>27</v>
      </c>
      <c r="E495" t="s">
        <v>34</v>
      </c>
      <c r="F495" t="s">
        <v>27</v>
      </c>
      <c r="G495" s="2">
        <v>32115</v>
      </c>
      <c r="H495" t="s">
        <v>14</v>
      </c>
      <c r="I495" s="1">
        <v>44267</v>
      </c>
      <c r="J495" t="str">
        <f t="shared" si="28"/>
        <v>Gen Z</v>
      </c>
      <c r="K495" t="str" cm="1">
        <f t="array" ref="K495">_xlfn.IFS(G495&lt;=50000,"Low",G495&lt;=100000,"Medium",G495&lt;=150000,"High",G495&gt;=150001,"Premium")</f>
        <v>Low</v>
      </c>
      <c r="L495" s="3">
        <f t="shared" ca="1" si="29"/>
        <v>4</v>
      </c>
      <c r="M495" t="str">
        <f t="shared" ca="1" si="30"/>
        <v>3-5yrs</v>
      </c>
      <c r="N495" s="3">
        <f t="shared" ca="1" si="31"/>
        <v>273</v>
      </c>
    </row>
    <row r="496" spans="1:14" x14ac:dyDescent="0.35">
      <c r="A496" t="s">
        <v>1012</v>
      </c>
      <c r="B496" t="s">
        <v>1013</v>
      </c>
      <c r="C496" t="s">
        <v>11</v>
      </c>
      <c r="D496">
        <v>36</v>
      </c>
      <c r="E496" t="s">
        <v>34</v>
      </c>
      <c r="F496" t="s">
        <v>31</v>
      </c>
      <c r="G496" s="2">
        <v>59062</v>
      </c>
      <c r="H496" t="s">
        <v>14</v>
      </c>
      <c r="I496" s="1">
        <v>44585</v>
      </c>
      <c r="J496" t="str">
        <f t="shared" si="28"/>
        <v>Millennials</v>
      </c>
      <c r="K496" t="str" cm="1">
        <f t="array" ref="K496">_xlfn.IFS(G496&lt;=50000,"Low",G496&lt;=100000,"Medium",G496&lt;=150000,"High",G496&gt;=150001,"Premium")</f>
        <v>Medium</v>
      </c>
      <c r="L496" s="3">
        <f t="shared" ca="1" si="29"/>
        <v>3</v>
      </c>
      <c r="M496" t="str">
        <f t="shared" ca="1" si="30"/>
        <v>3-5yrs</v>
      </c>
      <c r="N496" s="3">
        <f t="shared" ca="1" si="31"/>
        <v>319</v>
      </c>
    </row>
    <row r="497" spans="1:14" x14ac:dyDescent="0.35">
      <c r="A497" t="s">
        <v>1014</v>
      </c>
      <c r="B497" t="s">
        <v>1015</v>
      </c>
      <c r="C497" t="s">
        <v>11</v>
      </c>
      <c r="D497">
        <v>34</v>
      </c>
      <c r="E497" t="s">
        <v>30</v>
      </c>
      <c r="F497" t="s">
        <v>31</v>
      </c>
      <c r="G497" s="2">
        <v>42911</v>
      </c>
      <c r="H497" t="s">
        <v>20</v>
      </c>
      <c r="I497" s="1">
        <v>42920</v>
      </c>
      <c r="J497" t="str">
        <f t="shared" si="28"/>
        <v>Millennials</v>
      </c>
      <c r="K497" t="str" cm="1">
        <f t="array" ref="K497">_xlfn.IFS(G497&lt;=50000,"Low",G497&lt;=100000,"Medium",G497&lt;=150000,"High",G497&gt;=150001,"Premium")</f>
        <v>Low</v>
      </c>
      <c r="L497" s="3">
        <f t="shared" ca="1" si="29"/>
        <v>8</v>
      </c>
      <c r="M497" t="str">
        <f t="shared" ca="1" si="30"/>
        <v>5yrs +</v>
      </c>
      <c r="N497" s="3">
        <f t="shared" ca="1" si="31"/>
        <v>59</v>
      </c>
    </row>
    <row r="498" spans="1:14" x14ac:dyDescent="0.35">
      <c r="A498" t="s">
        <v>1016</v>
      </c>
      <c r="B498" t="s">
        <v>1017</v>
      </c>
      <c r="C498" t="s">
        <v>11</v>
      </c>
      <c r="D498">
        <v>38</v>
      </c>
      <c r="E498" t="s">
        <v>18</v>
      </c>
      <c r="F498" t="s">
        <v>23</v>
      </c>
      <c r="G498" s="2">
        <v>124061</v>
      </c>
      <c r="H498" t="s">
        <v>20</v>
      </c>
      <c r="I498" s="1">
        <v>45451</v>
      </c>
      <c r="J498" t="str">
        <f t="shared" si="28"/>
        <v>Millennials</v>
      </c>
      <c r="K498" t="str" cm="1">
        <f t="array" ref="K498">_xlfn.IFS(G498&lt;=50000,"Low",G498&lt;=100000,"Medium",G498&lt;=150000,"High",G498&gt;=150001,"Premium")</f>
        <v>High</v>
      </c>
      <c r="L498" s="3">
        <f t="shared" ca="1" si="29"/>
        <v>1</v>
      </c>
      <c r="M498" t="str">
        <f t="shared" ca="1" si="30"/>
        <v>1-3yrs</v>
      </c>
      <c r="N498" s="3">
        <f t="shared" ca="1" si="31"/>
        <v>422</v>
      </c>
    </row>
    <row r="499" spans="1:14" x14ac:dyDescent="0.35">
      <c r="A499" t="s">
        <v>1018</v>
      </c>
      <c r="B499" t="s">
        <v>1019</v>
      </c>
      <c r="C499" t="s">
        <v>17</v>
      </c>
      <c r="D499">
        <v>31</v>
      </c>
      <c r="E499" t="s">
        <v>18</v>
      </c>
      <c r="F499" t="s">
        <v>19</v>
      </c>
      <c r="G499" s="2">
        <v>52556</v>
      </c>
      <c r="H499" t="s">
        <v>20</v>
      </c>
      <c r="I499" s="1">
        <v>42561</v>
      </c>
      <c r="J499" t="str">
        <f t="shared" si="28"/>
        <v>Millennials</v>
      </c>
      <c r="K499" t="str" cm="1">
        <f t="array" ref="K499">_xlfn.IFS(G499&lt;=50000,"Low",G499&lt;=100000,"Medium",G499&lt;=150000,"High",G499&gt;=150001,"Premium")</f>
        <v>Medium</v>
      </c>
      <c r="L499" s="3">
        <f t="shared" ca="1" si="29"/>
        <v>9</v>
      </c>
      <c r="M499" t="str">
        <f t="shared" ca="1" si="30"/>
        <v>5yrs +</v>
      </c>
      <c r="N499" s="3">
        <f t="shared" ca="1" si="31"/>
        <v>17</v>
      </c>
    </row>
    <row r="500" spans="1:14" x14ac:dyDescent="0.35">
      <c r="A500" t="s">
        <v>1020</v>
      </c>
      <c r="B500" t="s">
        <v>1021</v>
      </c>
      <c r="C500" t="s">
        <v>11</v>
      </c>
      <c r="D500">
        <v>26</v>
      </c>
      <c r="E500" t="s">
        <v>34</v>
      </c>
      <c r="F500" t="s">
        <v>23</v>
      </c>
      <c r="G500" s="2">
        <v>148335</v>
      </c>
      <c r="H500" t="s">
        <v>14</v>
      </c>
      <c r="I500" s="1">
        <v>45443</v>
      </c>
      <c r="J500" t="str">
        <f t="shared" si="28"/>
        <v>Gen Z</v>
      </c>
      <c r="K500" t="str" cm="1">
        <f t="array" ref="K500">_xlfn.IFS(G500&lt;=50000,"Low",G500&lt;=100000,"Medium",G500&lt;=150000,"High",G500&gt;=150001,"Premium")</f>
        <v>High</v>
      </c>
      <c r="L500" s="3">
        <f t="shared" ca="1" si="29"/>
        <v>1</v>
      </c>
      <c r="M500" t="str">
        <f t="shared" ca="1" si="30"/>
        <v>1-3yrs</v>
      </c>
      <c r="N500" s="3">
        <f t="shared" ca="1" si="31"/>
        <v>422</v>
      </c>
    </row>
    <row r="501" spans="1:14" x14ac:dyDescent="0.35">
      <c r="A501" t="s">
        <v>1022</v>
      </c>
      <c r="B501" t="s">
        <v>1023</v>
      </c>
      <c r="C501" t="s">
        <v>17</v>
      </c>
      <c r="D501">
        <v>63</v>
      </c>
      <c r="E501" t="s">
        <v>34</v>
      </c>
      <c r="F501" t="s">
        <v>31</v>
      </c>
      <c r="G501" s="2">
        <v>21969</v>
      </c>
      <c r="H501" t="s">
        <v>20</v>
      </c>
      <c r="I501" s="1">
        <v>45488</v>
      </c>
      <c r="J501" t="str">
        <f t="shared" si="28"/>
        <v>Boomers</v>
      </c>
      <c r="K501" t="str" cm="1">
        <f t="array" ref="K501">_xlfn.IFS(G501&lt;=50000,"Low",G501&lt;=100000,"Medium",G501&lt;=150000,"High",G501&gt;=150001,"Premium")</f>
        <v>Low</v>
      </c>
      <c r="L501" s="3">
        <f t="shared" ca="1" si="29"/>
        <v>1</v>
      </c>
      <c r="M501" t="str">
        <f t="shared" ca="1" si="30"/>
        <v>1-3yrs</v>
      </c>
      <c r="N501" s="3">
        <f t="shared" ca="1" si="31"/>
        <v>422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C0CB9-C3E4-43E8-A270-9B59F624FF83}">
  <dimension ref="A3:G4"/>
  <sheetViews>
    <sheetView workbookViewId="0"/>
  </sheetViews>
  <sheetFormatPr defaultRowHeight="14.5" x14ac:dyDescent="0.35"/>
  <cols>
    <col min="1" max="1" width="13.81640625" bestFit="1" customWidth="1"/>
    <col min="3" max="3" width="14.26953125" bestFit="1" customWidth="1"/>
    <col min="5" max="5" width="11.7265625" bestFit="1" customWidth="1"/>
    <col min="7" max="7" width="20.453125" bestFit="1" customWidth="1"/>
  </cols>
  <sheetData>
    <row r="3" spans="1:7" x14ac:dyDescent="0.35">
      <c r="A3" t="s">
        <v>1056</v>
      </c>
      <c r="C3" s="2" t="s">
        <v>1032</v>
      </c>
      <c r="E3" s="2" t="s">
        <v>1033</v>
      </c>
      <c r="G3" s="3" t="s">
        <v>1055</v>
      </c>
    </row>
    <row r="4" spans="1:7" x14ac:dyDescent="0.35">
      <c r="A4" s="6">
        <v>500</v>
      </c>
      <c r="C4" s="2">
        <v>114398.822</v>
      </c>
      <c r="E4" s="2">
        <v>57199411</v>
      </c>
      <c r="G4" s="3">
        <v>4.6120000000000001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9EF670-D969-4EC7-B893-40512F04BB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 tables</vt:lpstr>
      <vt:lpstr>Sheet3</vt:lpstr>
      <vt:lpstr>Sheet1</vt:lpstr>
      <vt:lpstr>customers</vt:lpstr>
      <vt:lpstr>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Durosinmi Kabirat Oyindamola</cp:lastModifiedBy>
  <dcterms:created xsi:type="dcterms:W3CDTF">2025-08-27T23:47:46Z</dcterms:created>
  <dcterms:modified xsi:type="dcterms:W3CDTF">2025-11-27T10:04:02Z</dcterms:modified>
</cp:coreProperties>
</file>